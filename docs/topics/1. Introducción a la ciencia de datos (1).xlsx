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demedellin-my.sharepoint.com/personal/jhquiza_udemedellin_edu_co/Documents/2026-1/Especialización/Diseño curricular/Microcurrículos/"/>
    </mc:Choice>
  </mc:AlternateContent>
  <xr:revisionPtr revIDLastSave="74" documentId="8_{81CC5D52-73E2-439D-9721-C63CE829018D}" xr6:coauthVersionLast="47" xr6:coauthVersionMax="47" xr10:uidLastSave="{05F915F8-109B-4895-9D6E-D41A6771C433}"/>
  <bookViews>
    <workbookView xWindow="-23148" yWindow="3588" windowWidth="23256" windowHeight="12456" tabRatio="500" firstSheet="2" activeTab="2" xr2:uid="{00000000-000D-0000-FFFF-FFFF00000000}"/>
  </bookViews>
  <sheets>
    <sheet name="Lineamientos" sheetId="1" state="hidden" r:id="rId1"/>
    <sheet name="Estructura" sheetId="2" state="hidden" r:id="rId2"/>
    <sheet name="Ficha" sheetId="3" r:id="rId3"/>
  </sheets>
  <definedNames>
    <definedName name="COMPETENCIAS_GENERICAS">Genéricas[Competencias genéricas]</definedName>
    <definedName name="RAE">Tabla3[RAE]</definedName>
    <definedName name="RAE_1">Estructura!$D$36:$E$36</definedName>
    <definedName name="RAE_2">Estructura!$D$37:$E$37</definedName>
    <definedName name="RAE_3">Estructura!$C$38:$E$38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9" i="3" l="1"/>
  <c r="G30" i="3"/>
  <c r="G31" i="3"/>
  <c r="G28" i="3"/>
  <c r="H24" i="3"/>
  <c r="A24" i="3" s="1"/>
  <c r="H23" i="3"/>
  <c r="C23" i="3" s="1"/>
  <c r="A15" i="3"/>
  <c r="C24" i="3" l="1"/>
  <c r="A23" i="3"/>
  <c r="B15" i="3"/>
  <c r="F13" i="3" l="1"/>
  <c r="B13" i="3"/>
  <c r="A13" i="3" l="1"/>
  <c r="C10" i="3"/>
  <c r="C11" i="3" s="1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H21" i="1"/>
  <c r="E21" i="1"/>
  <c r="D21" i="1"/>
  <c r="H20" i="1"/>
  <c r="E20" i="1"/>
  <c r="D20" i="1"/>
  <c r="H19" i="1"/>
  <c r="E19" i="1"/>
  <c r="D19" i="1"/>
  <c r="H18" i="1"/>
  <c r="E18" i="1"/>
  <c r="D18" i="1"/>
  <c r="H17" i="1"/>
  <c r="E17" i="1"/>
  <c r="D17" i="1"/>
  <c r="H16" i="1"/>
  <c r="E16" i="1"/>
  <c r="D16" i="1"/>
  <c r="D15" i="1"/>
  <c r="E15" i="1" s="1"/>
  <c r="E14" i="1"/>
  <c r="D14" i="1"/>
  <c r="D13" i="1"/>
  <c r="E13" i="1" s="1"/>
  <c r="E12" i="1"/>
  <c r="D12" i="1"/>
  <c r="E11" i="1"/>
  <c r="D11" i="1"/>
  <c r="E10" i="1"/>
  <c r="D10" i="1"/>
  <c r="D9" i="1"/>
  <c r="E9" i="1" s="1"/>
  <c r="E8" i="1"/>
  <c r="D8" i="1"/>
  <c r="D7" i="1"/>
  <c r="E7" i="1" s="1"/>
  <c r="E6" i="1"/>
  <c r="D6" i="1"/>
  <c r="E5" i="1"/>
  <c r="D5" i="1"/>
  <c r="E4" i="1"/>
  <c r="D4" i="1"/>
  <c r="D3" i="1"/>
  <c r="E3" i="1" s="1"/>
  <c r="E2" i="1"/>
  <c r="J18" i="1" s="1"/>
  <c r="D2" i="1"/>
  <c r="J17" i="1" s="1"/>
  <c r="F32" i="3"/>
  <c r="E32" i="3"/>
  <c r="G32" i="3"/>
  <c r="C20" i="3"/>
  <c r="C19" i="3"/>
  <c r="C18" i="3"/>
  <c r="F15" i="3" l="1"/>
  <c r="D15" i="3"/>
  <c r="E21" i="2"/>
  <c r="E23" i="2"/>
  <c r="E26" i="2"/>
  <c r="E29" i="2"/>
  <c r="E25" i="2"/>
  <c r="E32" i="2"/>
  <c r="E20" i="2"/>
  <c r="E30" i="2"/>
  <c r="E28" i="2"/>
  <c r="E27" i="2"/>
  <c r="E24" i="2"/>
  <c r="E22" i="2"/>
  <c r="E31" i="2"/>
  <c r="C15" i="3" l="1"/>
</calcChain>
</file>

<file path=xl/sharedStrings.xml><?xml version="1.0" encoding="utf-8"?>
<sst xmlns="http://schemas.openxmlformats.org/spreadsheetml/2006/main" count="210" uniqueCount="144">
  <si>
    <t>Créditos</t>
  </si>
  <si>
    <t>hi</t>
  </si>
  <si>
    <t>hti</t>
  </si>
  <si>
    <t>Directa</t>
  </si>
  <si>
    <t>Indirecta</t>
  </si>
  <si>
    <t>Horas de interacción</t>
  </si>
  <si>
    <t>Niveles</t>
  </si>
  <si>
    <t>Mínimo</t>
  </si>
  <si>
    <t>Máximo</t>
  </si>
  <si>
    <t>Modalidad</t>
  </si>
  <si>
    <t>Sincrónica</t>
  </si>
  <si>
    <t>Videoconferencias</t>
  </si>
  <si>
    <t>Pregrado</t>
  </si>
  <si>
    <t>Presencial</t>
  </si>
  <si>
    <t>Audioconferencias</t>
  </si>
  <si>
    <t>Especialización</t>
  </si>
  <si>
    <t>A distancia</t>
  </si>
  <si>
    <t>Chat de texto o video</t>
  </si>
  <si>
    <t>Maestría de profundización</t>
  </si>
  <si>
    <t>Virtual</t>
  </si>
  <si>
    <t>Pizarra compartida</t>
  </si>
  <si>
    <t>Maestría investigativa</t>
  </si>
  <si>
    <t>Asincrónica</t>
  </si>
  <si>
    <t>Foro</t>
  </si>
  <si>
    <t>Doctorado</t>
  </si>
  <si>
    <t xml:space="preserve">Mensajería instantánea </t>
  </si>
  <si>
    <t>Correo electrónico</t>
  </si>
  <si>
    <t>Blog</t>
  </si>
  <si>
    <t>Tarea</t>
  </si>
  <si>
    <t>Wiki</t>
  </si>
  <si>
    <t>Horas diarias</t>
  </si>
  <si>
    <t>Competencias genéricas</t>
  </si>
  <si>
    <t>RAE</t>
  </si>
  <si>
    <t>Lectura crítica</t>
  </si>
  <si>
    <t>Analizo un texto relacionándolo con un contexto para asumir una postura crítica ante su tesis principal.</t>
  </si>
  <si>
    <t>Razonamiento cuantitativo</t>
  </si>
  <si>
    <t>Aplico estrategias para la solución de situaciones que contengan información que pueda ser gestionada de manera cuantitativa.</t>
  </si>
  <si>
    <t>Competencias ciudadanas</t>
  </si>
  <si>
    <t>Reconozco responsabilidades éticas y profesionales, desde una postura participativa, democrática y de respeto a la diferencia, que permita la solución de conflictos y la comprensión del entorno.</t>
  </si>
  <si>
    <t>Comunicación escrita</t>
  </si>
  <si>
    <t>Redacto textos relacionándolos con un contexto para comunicar efectivamente las ideas asumiendo posturas críticas</t>
  </si>
  <si>
    <t>Competencia en CTI+i</t>
  </si>
  <si>
    <t>Propongo soluciones a problemas empresariales y/o sociales, utilizando fundamentos de la ciencia y/o la tecnología.</t>
  </si>
  <si>
    <t xml:space="preserve">Comunicación en otros idiomas </t>
  </si>
  <si>
    <t>Redacto textos en otro idioma relacionándolo con un contexto para asumir una postura crítica ante su tesis principal.</t>
  </si>
  <si>
    <t>Inter y multiculturalidad</t>
  </si>
  <si>
    <t>Participo en equipos interdisciplinarios respetando las diferencias que tienen sus integrantes, estableciendo relaciones recíprocas y de intercambio de saberes.</t>
  </si>
  <si>
    <t>Conocimiento y apropiación del contexto social y global</t>
  </si>
  <si>
    <t>Comprendo el contexto empresarial y social, considerando la influencia de elementos del contexto global, para identificar y proponer soluciones de problemas</t>
  </si>
  <si>
    <t>Competencias digitales</t>
  </si>
  <si>
    <t>Empleo adecuadamente herramientas tecnológicas para la gestión de la información que apoye la toma de decisiones</t>
  </si>
  <si>
    <t>Obligatoria</t>
  </si>
  <si>
    <t>Electiva</t>
  </si>
  <si>
    <t>Teórico práctico</t>
  </si>
  <si>
    <t>UOC</t>
  </si>
  <si>
    <t>Propósito de formación</t>
  </si>
  <si>
    <t>Fundamentación</t>
  </si>
  <si>
    <t>Desarrollar en el estudiante las competencias fundamentales descritas en el perfil de egreso de la Especialización.</t>
  </si>
  <si>
    <t>Electivas</t>
  </si>
  <si>
    <t>Desarrollar en el estudiante competencias que complementen su perfil profesional como Especialista ern Ciencia de Datos e Inteligencia Artificial.</t>
  </si>
  <si>
    <t>Investigación</t>
  </si>
  <si>
    <t>Desarrollar en el estudiante competencias blandas y en investigación e innovación, que le permitan participar en la formulación, gestión y desarrollo de proyectos de datos.</t>
  </si>
  <si>
    <t>Asignaturas</t>
  </si>
  <si>
    <t>Fundamentos de programación y bases de datos</t>
  </si>
  <si>
    <t>Fundamentos de estadística para ciencia de datos</t>
  </si>
  <si>
    <t>Desarrollo humano</t>
  </si>
  <si>
    <t>Introducción a la ciencia de datos</t>
  </si>
  <si>
    <t>Proyecto I</t>
  </si>
  <si>
    <t>Profundización I</t>
  </si>
  <si>
    <t>Aprendizaje automático</t>
  </si>
  <si>
    <t>Aprendizaje profundo</t>
  </si>
  <si>
    <t>Visualización de datos</t>
  </si>
  <si>
    <t>Aprendizaje automático en la nube</t>
  </si>
  <si>
    <t>Proyecto II</t>
  </si>
  <si>
    <t>Profundización II</t>
  </si>
  <si>
    <t>UC</t>
  </si>
  <si>
    <t>RAP</t>
  </si>
  <si>
    <t>RAE 1</t>
  </si>
  <si>
    <t>RAE 2</t>
  </si>
  <si>
    <t>MICROCURRÍCULO</t>
  </si>
  <si>
    <t>Código: FT-GPA-003</t>
  </si>
  <si>
    <t>Versión: 3</t>
  </si>
  <si>
    <t>Fecha: 13/Nov/2025</t>
  </si>
  <si>
    <t>Fecha de actualización del microcurrículo</t>
  </si>
  <si>
    <t>Nivel de formación del programa</t>
  </si>
  <si>
    <t>Denominación del programa</t>
  </si>
  <si>
    <t>Especialización en Ciencia de Datos e Inteligencia Artificial</t>
  </si>
  <si>
    <t>Nombre de la Asignatura / módulo / seminario</t>
  </si>
  <si>
    <t>Unidad de Organización Curricular -UOC- a la cual pertenece la asignatura / módulo / seminario</t>
  </si>
  <si>
    <t>Propósitos de formación de la UOC</t>
  </si>
  <si>
    <t>Tipo de crédito</t>
  </si>
  <si>
    <t>Tipo de asignatura / módulo / seminario</t>
  </si>
  <si>
    <t>Componente del plan de estudios al que pertenece</t>
  </si>
  <si>
    <t>Nivel en el que se ubica en el plan de estudios</t>
  </si>
  <si>
    <t>Código de asignatura, módulo o seminario</t>
  </si>
  <si>
    <t xml:space="preserve"> # Créditos</t>
  </si>
  <si>
    <t>Horas totales (según el número de créditos)</t>
  </si>
  <si>
    <t>Horas totales de interacción (sincrónico y asincrónico)</t>
  </si>
  <si>
    <t>Horas totales de trabajo independiente</t>
  </si>
  <si>
    <t xml:space="preserve">COMPETENCIAS GENÉRICAS </t>
  </si>
  <si>
    <t>Unidad de Competencia Genérica (PEI, Acuerdo 52 de 2016, Acuerdo 40 de 2018 y Acuerdo 16 de 2021)</t>
  </si>
  <si>
    <t xml:space="preserve">Descripción del Resultado de Aprendizaje Esperado -RAE- asociado a la Competencia Genérica </t>
  </si>
  <si>
    <t>COMPETENCIAS ESPECÍFICAS</t>
  </si>
  <si>
    <t>Unidad de Competencia Específica según el perfil de egreso</t>
  </si>
  <si>
    <t xml:space="preserve">Resultado de Aprendizaje Esperado -RAE- asociado a la Unidad de Competencia Específica según el perfil de egreso </t>
  </si>
  <si>
    <t>RESULTADOS DE APRENDIZAJE ESPERADOS ASOCIADOS A UNIDADES DE COMPETENCIA ESPECÍFICA</t>
  </si>
  <si>
    <t xml:space="preserve">Resultados de Aprendizaje Esperado </t>
  </si>
  <si>
    <t xml:space="preserve">Contenidos del aprendizaje </t>
  </si>
  <si>
    <t>Mediaciones pedagógicas y didácticas</t>
  </si>
  <si>
    <t>Actividades de valoración y evidencias del aprendizaje</t>
  </si>
  <si>
    <t>Horas de Interacción (sincrónico y asincrónico)</t>
  </si>
  <si>
    <t>Horas de trabajo independiente</t>
  </si>
  <si>
    <t>Total de horas</t>
  </si>
  <si>
    <t>Total horas</t>
  </si>
  <si>
    <t>RECURSOS BIBLIOGRÁFICOS Y BASES DE DATOS</t>
  </si>
  <si>
    <t>Material académico UDEMEDELLÍN:</t>
  </si>
  <si>
    <t>Material resultado de Investigación e innovación UDEMEDELLÍN:</t>
  </si>
  <si>
    <t>Bases de datos disponibles en la Biblioteca U de Medellín:</t>
  </si>
  <si>
    <t>RA1: Desarrollo análisis descriptivos y diagnósticos, fundamentados en la preparación técnica de datos y en el uso de herramientas de inteligencia de negocios, comunicando los hallazgos mediante técnicas de storytelling para explicar el comportamiento y las causas raíz de los fenómenos de la organización.</t>
  </si>
  <si>
    <t>UC1: Desarrollar análisis descriptivos y diagnósticos, fundamentados en la preparación técnica de datos y en el uso de herramientas de inteligencia de negocios, comunicando los hallazgos mediante técnicas de storytelling para explicar el comportamiento y las causas raíz de los fenómenos de la organización.</t>
  </si>
  <si>
    <t>RAE1.1:Analizo conjuntos de datos construyendo flujos de procesamiento, limpieza y transformación de datos, y aplicando métodos exploratorios para identificar patrones de comportamiento, anomalías y las variables más asociadas al fenómeno analizado.</t>
  </si>
  <si>
    <t>RAE1.2: Sintetizo las conclusiones de los análisis descriptivos y diagnósticos mediante tableros de control, informes interactivos y narrativas visuales de datos (storytelling), traduciendo métricas técnicas en información clara, atractiva y accesible para los miembros del equipo de analítica y de la organización.</t>
  </si>
  <si>
    <t>RA2:Implemento flujos de trabajo de MLOps que lleven los modelos de aprendizaje automático desde el entrenamiento hasta la puesta en producción, aplicando herramientas y prácticas estándar de la industria.</t>
  </si>
  <si>
    <t>UC2:Implementar flujos de trabajo de MLOps que lleven los modelos de aprendizaje automático desde el entrenamiento hasta la puesta en producción, aplicando herramientas y prácticas estándar de la industria.</t>
  </si>
  <si>
    <t xml:space="preserve">
RAE2.1: Desarrollo pipelines de entrenamiento y evaluación de modelos de aprendizaje automático y de aprendizaje profundo que prevengan la fuga de datos y garanticen la reproducibilidad y la validez de los resultados.</t>
  </si>
  <si>
    <t>RAE2.2: Construyo prototipos funcionales de servicios basados en modelos de ML/IA, tanto en entornos locales como en servicios gestionados de computación en la nube, aplicando fundamentos de MLOps para exponerlos como servicios consumibles en entornos productivos.</t>
  </si>
  <si>
    <t>Horas presenciales</t>
  </si>
  <si>
    <t>Horas independientes</t>
  </si>
  <si>
    <t>Nivel</t>
  </si>
  <si>
    <t>Tipo de asignatura</t>
  </si>
  <si>
    <t>Introducción a la inteligencia artificial</t>
  </si>
  <si>
    <t>Código</t>
  </si>
  <si>
    <t>UC1</t>
  </si>
  <si>
    <t>UC2</t>
  </si>
  <si>
    <t>N_UC</t>
  </si>
  <si>
    <t>--</t>
  </si>
  <si>
    <t>Visualización de datos con Seaborn y Plotly.
Creación de tableros con Plotly.
Principios de storytellling con datos.</t>
  </si>
  <si>
    <t>Explicación mediante notebooks interactivos de Jupyter/Colab.</t>
  </si>
  <si>
    <t>Taller en clase.</t>
  </si>
  <si>
    <t>Proyecto de aula final.</t>
  </si>
  <si>
    <t>Procesamiento y análisis de series de tiempo con Pandas.
Herramientas para automatizar los EDA.</t>
  </si>
  <si>
    <t>Comprensión, limpieza y transformación de datos con Pandas:
Carga y almacenamiento de datos con Pandas.
Gestión de valores nulos, duplicados y atípicos.
Limpieza de cadenas de texto.</t>
  </si>
  <si>
    <t>Indexación jerárquica en Pandas.
Combinación de dataframes.
Agregación de datos y operaciones de agrupamiento.
Tablas dinámicas en Pandas.</t>
  </si>
  <si>
    <r>
      <t xml:space="preserve">General:
</t>
    </r>
    <r>
      <rPr>
        <sz val="8"/>
        <rFont val="Arial"/>
        <family val="2"/>
      </rPr>
      <t>McKinney, W. (2023). Python para análisis de datos: manipulación de datos con Pandas, NumPy y Jupyter. Anaya Multimedia. Disponible en: https://wesmckinney.com/book/  
VanderPlas, J. (2016). Python data science handbook: Essential tools for working with data. O'Reilly Media, Inc. Disponible en: https://jakevdp.github.io/PythonDataScienceHandbook/
Wilke, C. O. (2019). Fundamentals of data visualization: a primer on making informative and compelling figures. O'Reilly Media. Disponible en: https://clauswilke.com/dataviz/
Alexander, R. (2023). Telling stories with data: With applications in R. Chapman and Hall/CRC. Disponible en: https://tellingstorieswithdata.com/
Knaflic, C. N. (2015). Storytelling with Data: A Data Visualization Guide for Business Professionals. John Wiley &amp; Sons.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</si>
</sst>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1"/>
      <color theme="1"/>
      <name val="Corbel"/>
      <family val="2"/>
      <charset val="1"/>
    </font>
    <font>
      <sz val="8"/>
      <color theme="1"/>
      <name val="Arial"/>
      <family val="2"/>
      <charset val="1"/>
    </font>
    <font>
      <b/>
      <sz val="8"/>
      <color theme="0"/>
      <name val="Arial"/>
      <family val="2"/>
      <charset val="1"/>
    </font>
    <font>
      <sz val="8"/>
      <color rgb="FF000000"/>
      <name val="Arial"/>
      <family val="2"/>
      <charset val="1"/>
    </font>
    <font>
      <b/>
      <sz val="8"/>
      <color theme="1"/>
      <name val="Arial"/>
      <family val="2"/>
      <charset val="1"/>
    </font>
    <font>
      <sz val="8"/>
      <name val="Arial"/>
      <family val="2"/>
      <charset val="1"/>
    </font>
    <font>
      <b/>
      <sz val="8"/>
      <name val="Arial"/>
      <family val="2"/>
      <charset val="1"/>
    </font>
    <font>
      <sz val="8"/>
      <color theme="0"/>
      <name val="Arial"/>
      <family val="2"/>
      <charset val="1"/>
    </font>
    <font>
      <sz val="8"/>
      <color theme="8"/>
      <name val="Arial"/>
      <family val="2"/>
      <charset val="1"/>
    </font>
    <font>
      <b/>
      <sz val="8"/>
      <color rgb="FF000000"/>
      <name val="Arial"/>
      <family val="2"/>
      <charset val="1"/>
    </font>
    <font>
      <sz val="8"/>
      <name val="Calibri"/>
      <family val="2"/>
      <charset val="1"/>
    </font>
    <font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rgb="FF666699"/>
      </patternFill>
    </fill>
    <fill>
      <patternFill patternType="solid">
        <fgColor theme="4" tint="0.79989013336588644"/>
        <bgColor rgb="FFE7E6E6"/>
      </patternFill>
    </fill>
    <fill>
      <patternFill patternType="solid">
        <fgColor rgb="FF002060"/>
        <bgColor rgb="FF000080"/>
      </patternFill>
    </fill>
    <fill>
      <patternFill patternType="solid">
        <fgColor theme="0"/>
        <bgColor rgb="FFE7E6E6"/>
      </patternFill>
    </fill>
    <fill>
      <patternFill patternType="solid">
        <fgColor theme="0" tint="-0.34998626667073579"/>
        <bgColor rgb="FF8FAADC"/>
      </patternFill>
    </fill>
    <fill>
      <patternFill patternType="solid">
        <fgColor theme="2"/>
        <bgColor rgb="FFDAE3F3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3">
    <border>
      <left/>
      <right/>
      <top/>
      <bottom/>
      <diagonal/>
    </border>
    <border>
      <left/>
      <right/>
      <top style="thin">
        <color theme="4" tint="0.39988402966399123"/>
      </top>
      <bottom/>
      <diagonal/>
    </border>
    <border>
      <left style="medium">
        <color theme="1" tint="0.24988555558946501"/>
      </left>
      <right style="thin">
        <color theme="1" tint="0.49989318521683401"/>
      </right>
      <top style="medium">
        <color theme="1" tint="0.24988555558946501"/>
      </top>
      <bottom style="medium">
        <color theme="1" tint="0.24988555558946501"/>
      </bottom>
      <diagonal/>
    </border>
    <border>
      <left style="thin">
        <color theme="1" tint="0.49989318521683401"/>
      </left>
      <right style="thin">
        <color theme="1" tint="0.49989318521683401"/>
      </right>
      <top style="medium">
        <color theme="1" tint="0.24988555558946501"/>
      </top>
      <bottom style="medium">
        <color theme="1" tint="0.24988555558946501"/>
      </bottom>
      <diagonal/>
    </border>
    <border>
      <left style="thin">
        <color theme="1" tint="0.49989318521683401"/>
      </left>
      <right style="medium">
        <color theme="1" tint="0.24988555558946501"/>
      </right>
      <top style="medium">
        <color theme="1" tint="0.24988555558946501"/>
      </top>
      <bottom style="thin">
        <color theme="1" tint="0.49989318521683401"/>
      </bottom>
      <diagonal/>
    </border>
    <border>
      <left style="thin">
        <color theme="1" tint="0.49989318521683401"/>
      </left>
      <right style="medium">
        <color theme="1" tint="0.24988555558946501"/>
      </right>
      <top style="thin">
        <color theme="1" tint="0.49989318521683401"/>
      </top>
      <bottom style="thin">
        <color theme="1" tint="0.49989318521683401"/>
      </bottom>
      <diagonal/>
    </border>
    <border>
      <left style="thin">
        <color theme="1" tint="0.49989318521683401"/>
      </left>
      <right style="medium">
        <color theme="1" tint="0.24988555558946501"/>
      </right>
      <top style="thin">
        <color theme="1" tint="0.49989318521683401"/>
      </top>
      <bottom style="medium">
        <color theme="1" tint="0.24988555558946501"/>
      </bottom>
      <diagonal/>
    </border>
    <border>
      <left style="medium">
        <color theme="1" tint="0.24988555558946501"/>
      </left>
      <right style="thin">
        <color theme="1" tint="0.24988555558946501"/>
      </right>
      <top style="medium">
        <color theme="1" tint="0.24988555558946501"/>
      </top>
      <bottom style="medium">
        <color theme="1" tint="0.24988555558946501"/>
      </bottom>
      <diagonal/>
    </border>
    <border>
      <left style="thin">
        <color theme="1" tint="0.24988555558946501"/>
      </left>
      <right style="medium">
        <color theme="1" tint="0.24988555558946501"/>
      </right>
      <top style="medium">
        <color theme="1" tint="0.24988555558946501"/>
      </top>
      <bottom style="medium">
        <color theme="1" tint="0.24988555558946501"/>
      </bottom>
      <diagonal/>
    </border>
    <border>
      <left style="medium">
        <color theme="1" tint="0.24988555558946501"/>
      </left>
      <right style="thin">
        <color theme="1" tint="0.24988555558946501"/>
      </right>
      <top style="medium">
        <color theme="1" tint="0.24988555558946501"/>
      </top>
      <bottom style="thin">
        <color theme="1" tint="0.24988555558946501"/>
      </bottom>
      <diagonal/>
    </border>
    <border>
      <left style="thin">
        <color theme="1" tint="0.24988555558946501"/>
      </left>
      <right style="thin">
        <color theme="1" tint="0.24988555558946501"/>
      </right>
      <top style="medium">
        <color theme="1" tint="0.24988555558946501"/>
      </top>
      <bottom style="thin">
        <color theme="1" tint="0.24988555558946501"/>
      </bottom>
      <diagonal/>
    </border>
    <border>
      <left style="thin">
        <color theme="1" tint="0.24988555558946501"/>
      </left>
      <right style="medium">
        <color theme="1" tint="0.24988555558946501"/>
      </right>
      <top style="medium">
        <color theme="1" tint="0.24988555558946501"/>
      </top>
      <bottom style="thin">
        <color theme="1" tint="0.24988555558946501"/>
      </bottom>
      <diagonal/>
    </border>
    <border>
      <left style="medium">
        <color theme="1" tint="0.24988555558946501"/>
      </left>
      <right style="thin">
        <color theme="1" tint="0.24988555558946501"/>
      </right>
      <top style="thin">
        <color theme="1" tint="0.24988555558946501"/>
      </top>
      <bottom style="thin">
        <color theme="1" tint="0.24988555558946501"/>
      </bottom>
      <diagonal/>
    </border>
    <border>
      <left style="thin">
        <color theme="1" tint="0.24988555558946501"/>
      </left>
      <right style="thin">
        <color theme="1" tint="0.24988555558946501"/>
      </right>
      <top style="thin">
        <color theme="1" tint="0.24988555558946501"/>
      </top>
      <bottom style="thin">
        <color theme="1" tint="0.24988555558946501"/>
      </bottom>
      <diagonal/>
    </border>
    <border>
      <left style="thin">
        <color theme="1" tint="0.24988555558946501"/>
      </left>
      <right style="medium">
        <color theme="1" tint="0.24988555558946501"/>
      </right>
      <top style="thin">
        <color theme="1" tint="0.24988555558946501"/>
      </top>
      <bottom style="thin">
        <color theme="1" tint="0.24988555558946501"/>
      </bottom>
      <diagonal/>
    </border>
    <border>
      <left style="medium">
        <color theme="1" tint="0.24988555558946501"/>
      </left>
      <right style="thin">
        <color theme="1" tint="0.24988555558946501"/>
      </right>
      <top style="thin">
        <color theme="1" tint="0.24988555558946501"/>
      </top>
      <bottom style="medium">
        <color theme="1" tint="0.24988555558946501"/>
      </bottom>
      <diagonal/>
    </border>
    <border>
      <left style="thin">
        <color theme="1" tint="0.24988555558946501"/>
      </left>
      <right style="thin">
        <color theme="1" tint="0.24988555558946501"/>
      </right>
      <top style="thin">
        <color theme="1" tint="0.24988555558946501"/>
      </top>
      <bottom style="medium">
        <color theme="1" tint="0.24988555558946501"/>
      </bottom>
      <diagonal/>
    </border>
    <border>
      <left style="thin">
        <color theme="1" tint="0.24988555558946501"/>
      </left>
      <right style="medium">
        <color theme="1" tint="0.24988555558946501"/>
      </right>
      <top style="thin">
        <color theme="1" tint="0.24988555558946501"/>
      </top>
      <bottom style="medium">
        <color theme="1" tint="0.249885555589465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1" tint="0.24988555558946501"/>
      </left>
      <right style="medium">
        <color theme="1" tint="0.24988555558946501"/>
      </right>
      <top/>
      <bottom style="thin">
        <color theme="1" tint="0.24988555558946501"/>
      </bottom>
      <diagonal/>
    </border>
    <border>
      <left style="medium">
        <color theme="1" tint="0.24988555558946501"/>
      </left>
      <right style="medium">
        <color theme="1" tint="0.24988555558946501"/>
      </right>
      <top style="thin">
        <color theme="1" tint="0.24988555558946501"/>
      </top>
      <bottom style="thin">
        <color theme="1" tint="0.24988555558946501"/>
      </bottom>
      <diagonal/>
    </border>
    <border>
      <left style="medium">
        <color theme="1" tint="0.24988555558946501"/>
      </left>
      <right style="medium">
        <color theme="1" tint="0.24988555558946501"/>
      </right>
      <top style="thin">
        <color theme="1" tint="0.24988555558946501"/>
      </top>
      <bottom style="medium">
        <color theme="1" tint="0.2498855555894650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5" fillId="0" borderId="12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7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Protection="1">
      <protection hidden="1"/>
    </xf>
    <xf numFmtId="0" fontId="2" fillId="0" borderId="0" xfId="0" applyFont="1" applyProtection="1">
      <protection locked="0"/>
    </xf>
    <xf numFmtId="0" fontId="5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 applyProtection="1">
      <alignment horizontal="left" vertical="center" wrapText="1"/>
      <protection locked="0"/>
    </xf>
    <xf numFmtId="0" fontId="5" fillId="0" borderId="1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0" xfId="0" applyFont="1" applyAlignment="1" applyProtection="1">
      <alignment horizontal="center"/>
      <protection hidden="1"/>
    </xf>
    <xf numFmtId="0" fontId="7" fillId="7" borderId="9" xfId="0" applyFont="1" applyFill="1" applyBorder="1" applyAlignment="1" applyProtection="1">
      <alignment horizontal="center" vertical="center" wrapText="1"/>
      <protection locked="0"/>
    </xf>
    <xf numFmtId="0" fontId="7" fillId="7" borderId="11" xfId="0" applyFont="1" applyFill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8" fillId="0" borderId="0" xfId="0" applyFont="1" applyProtection="1">
      <protection locked="0"/>
    </xf>
    <xf numFmtId="0" fontId="7" fillId="7" borderId="10" xfId="0" applyFont="1" applyFill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>
      <alignment horizontal="center" vertical="center"/>
    </xf>
    <xf numFmtId="0" fontId="9" fillId="0" borderId="0" xfId="0" applyFont="1" applyAlignment="1" applyProtection="1">
      <alignment horizontal="justify" vertical="top"/>
      <protection hidden="1"/>
    </xf>
    <xf numFmtId="0" fontId="2" fillId="0" borderId="1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0" fontId="3" fillId="8" borderId="22" xfId="0" applyFont="1" applyFill="1" applyBorder="1"/>
    <xf numFmtId="0" fontId="2" fillId="9" borderId="22" xfId="0" applyFont="1" applyFill="1" applyBorder="1" applyAlignment="1">
      <alignment wrapText="1"/>
    </xf>
    <xf numFmtId="0" fontId="2" fillId="0" borderId="22" xfId="0" applyFont="1" applyBorder="1" applyAlignment="1">
      <alignment wrapText="1"/>
    </xf>
    <xf numFmtId="0" fontId="2" fillId="0" borderId="0" xfId="0" quotePrefix="1" applyFont="1" applyAlignment="1">
      <alignment wrapText="1"/>
    </xf>
    <xf numFmtId="0" fontId="2" fillId="0" borderId="18" xfId="0" applyFont="1" applyBorder="1"/>
    <xf numFmtId="0" fontId="7" fillId="0" borderId="20" xfId="0" applyFont="1" applyBorder="1" applyAlignment="1" applyProtection="1">
      <alignment horizontal="left" vertical="top" wrapText="1"/>
      <protection locked="0"/>
    </xf>
    <xf numFmtId="0" fontId="10" fillId="0" borderId="21" xfId="0" applyFont="1" applyBorder="1" applyAlignment="1" applyProtection="1">
      <alignment horizontal="left" vertical="top" wrapText="1"/>
      <protection locked="0"/>
    </xf>
    <xf numFmtId="0" fontId="6" fillId="0" borderId="1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6" borderId="13" xfId="0" applyFont="1" applyFill="1" applyBorder="1" applyAlignment="1" applyProtection="1">
      <alignment horizontal="center" vertical="center" wrapText="1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0" fontId="7" fillId="6" borderId="19" xfId="0" applyFont="1" applyFill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7" fillId="7" borderId="9" xfId="0" applyFont="1" applyFill="1" applyBorder="1" applyAlignment="1" applyProtection="1">
      <alignment horizontal="center" vertical="center" wrapText="1"/>
      <protection locked="0"/>
    </xf>
    <xf numFmtId="0" fontId="7" fillId="7" borderId="11" xfId="0" applyFont="1" applyFill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>
      <alignment horizontal="center" vertical="center" wrapText="1"/>
    </xf>
    <xf numFmtId="0" fontId="5" fillId="0" borderId="12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5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 applyProtection="1">
      <alignment horizontal="center" vertical="center" wrapText="1"/>
      <protection locked="0"/>
    </xf>
    <xf numFmtId="0" fontId="5" fillId="0" borderId="14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8FAADC"/>
      <rgbColor rgb="FF993366"/>
      <rgbColor rgb="FFE7E6E6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A6A6A6"/>
      <rgbColor rgb="FF002060"/>
      <rgbColor rgb="FF5B9BD5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132480</xdr:colOff>
      <xdr:row>0</xdr:row>
      <xdr:rowOff>140760</xdr:rowOff>
    </xdr:from>
    <xdr:to>
      <xdr:col>0</xdr:col>
      <xdr:colOff>1566045</xdr:colOff>
      <xdr:row>2</xdr:row>
      <xdr:rowOff>72720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32480" y="140760"/>
          <a:ext cx="1439280" cy="42732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enéricas" displayName="Genéricas" ref="A2:A11" totalsRowShown="0">
  <autoFilter ref="A2:A11" xr:uid="{00000000-0009-0000-0100-000001000000}"/>
  <tableColumns count="1">
    <tableColumn id="1" xr3:uid="{00000000-0010-0000-0000-000001000000}" name="Competencias genéric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3" displayName="Tabla3" ref="B2:B11" totalsRowShown="0">
  <autoFilter ref="B2:B11" xr:uid="{00000000-0009-0000-0100-000002000000}"/>
  <tableColumns count="1">
    <tableColumn id="1" xr3:uid="{00000000-0010-0000-0100-000001000000}" name="RA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F3C4F1-BE99-470F-A183-600BEA7BAD2E}" name="Competencias" displayName="Competencias" ref="B35:E38" totalsRowShown="0" headerRowDxfId="22" dataDxfId="21">
  <autoFilter ref="B35:E38" xr:uid="{0EF3C4F1-BE99-470F-A183-600BEA7BAD2E}"/>
  <tableColumns count="4">
    <tableColumn id="1" xr3:uid="{A9DD7997-B26C-458C-B484-8CD126BD8DC8}" name="UC" dataDxfId="20"/>
    <tableColumn id="2" xr3:uid="{8EDA7B6E-4FDA-4BE5-878B-6673BB7840B7}" name="RAP" dataDxfId="19"/>
    <tableColumn id="3" xr3:uid="{BEDE6F01-351A-4E2F-8CED-A938765FB795}" name="RAE 1" dataDxfId="18"/>
    <tableColumn id="4" xr3:uid="{748BD4D4-75A1-469D-AC98-8DA2DA4848D9}" name="RAE 2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8F718D-BF8A-45D4-ADA6-B759499D9169}" name="UOC" displayName="UOC" ref="A14:B17" totalsRowShown="0" headerRowDxfId="16">
  <autoFilter ref="A14:B17" xr:uid="{178F718D-BF8A-45D4-ADA6-B759499D9169}"/>
  <tableColumns count="2">
    <tableColumn id="1" xr3:uid="{441F2C38-070D-48FD-8757-95413FD2D9ED}" name="UOC" dataDxfId="15"/>
    <tableColumn id="2" xr3:uid="{1080AB31-D2D5-47F9-9715-1D69B769B95D}" name="Propósito de formación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ABCE81-BFDB-4433-831C-FFD0FE9E7A67}" name="Tabla5" displayName="Tabla5" ref="A19:L32" totalsRowShown="0" headerRowDxfId="13" dataDxfId="12">
  <autoFilter ref="A19:L32" xr:uid="{38ABCE81-BFDB-4433-831C-FFD0FE9E7A67}"/>
  <tableColumns count="12">
    <tableColumn id="1" xr3:uid="{5F3BABDE-DD5B-432D-A234-AA2DFEC843E1}" name="Asignaturas" dataDxfId="11"/>
    <tableColumn id="2" xr3:uid="{73C4F774-00A3-4870-A02C-3E5B42ADF488}" name="Créditos" dataDxfId="10"/>
    <tableColumn id="3" xr3:uid="{344DB173-A783-495B-9464-304CB88FCC97}" name="Horas presenciales" dataDxfId="9">
      <calculatedColumnFormula>Tabla5[[#This Row],[Créditos]]*16</calculatedColumnFormula>
    </tableColumn>
    <tableColumn id="4" xr3:uid="{414949B8-32EA-4B5F-9B6B-F890C90B5606}" name="Horas independientes" dataDxfId="8">
      <calculatedColumnFormula>Tabla5[[#This Row],[Créditos]]*32</calculatedColumnFormula>
    </tableColumn>
    <tableColumn id="5" xr3:uid="{5BB387DB-02C5-4E3C-81C9-758A04A03825}" name="Total horas" dataDxfId="7">
      <calculatedColumnFormula>Tabla5[[#This Row],[Horas presenciales]]+Tabla5[[#This Row],[Horas independientes]]</calculatedColumnFormula>
    </tableColumn>
    <tableColumn id="6" xr3:uid="{0C79BF13-151A-4979-9CED-4DAC5491CD61}" name="Nivel" dataDxfId="6"/>
    <tableColumn id="7" xr3:uid="{EE3C552E-9028-4E57-BAD2-89CED974CE24}" name="Tipo de asignatura" dataDxfId="5"/>
    <tableColumn id="8" xr3:uid="{1B6F8845-540B-4F62-8532-D0745ECF5363}" name="Tipo de crédito" dataDxfId="4"/>
    <tableColumn id="9" xr3:uid="{40F49446-6158-4FC1-B8F4-8455FE30CCE1}" name="UOC" dataDxfId="3"/>
    <tableColumn id="10" xr3:uid="{858EC742-22DE-4CC1-9EFD-6D3F3C7BEF2F}" name="Código" dataDxfId="2"/>
    <tableColumn id="11" xr3:uid="{01C06B11-5D31-4097-863F-7BDD25724343}" name="UC1" dataDxfId="1"/>
    <tableColumn id="12" xr3:uid="{372CF99E-091E-4514-89DF-3A715AA7B5D7}" name="UC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zoomScale="130" zoomScaleNormal="130" workbookViewId="0">
      <selection activeCell="K4" sqref="K4"/>
    </sheetView>
  </sheetViews>
  <sheetFormatPr baseColWidth="10" defaultColWidth="11.42578125" defaultRowHeight="15" x14ac:dyDescent="0.25"/>
  <cols>
    <col min="1" max="1" width="9" style="2" customWidth="1"/>
    <col min="2" max="3" width="3" style="2" customWidth="1"/>
    <col min="4" max="4" width="8.28515625" style="2" customWidth="1"/>
    <col min="5" max="5" width="10.140625" style="2" customWidth="1"/>
    <col min="6" max="7" width="11.42578125" style="2"/>
    <col min="8" max="8" width="20.85546875" style="2" customWidth="1"/>
    <col min="9" max="9" width="11.42578125" style="2"/>
    <col min="10" max="10" width="24.42578125" style="2" customWidth="1"/>
    <col min="11" max="16384" width="11.42578125" style="2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2" t="s">
        <v>5</v>
      </c>
      <c r="J1" s="2" t="s">
        <v>6</v>
      </c>
      <c r="K1" s="2" t="s">
        <v>7</v>
      </c>
      <c r="L1" s="2" t="s">
        <v>8</v>
      </c>
      <c r="N1" s="2" t="s">
        <v>9</v>
      </c>
    </row>
    <row r="2" spans="1:14" x14ac:dyDescent="0.25">
      <c r="A2" s="2">
        <v>11</v>
      </c>
      <c r="B2" s="2">
        <v>1</v>
      </c>
      <c r="C2" s="2">
        <v>15</v>
      </c>
      <c r="D2" s="2">
        <f t="shared" ref="D2:D41" si="0">(A2*48)/SUM(B2:C2)*B2</f>
        <v>33</v>
      </c>
      <c r="E2" s="2">
        <f t="shared" ref="E2:E41" si="1">(48*A2)-D2</f>
        <v>495</v>
      </c>
      <c r="G2" s="2" t="s">
        <v>10</v>
      </c>
      <c r="H2" s="2" t="s">
        <v>11</v>
      </c>
      <c r="J2" s="2" t="s">
        <v>12</v>
      </c>
      <c r="K2" s="2">
        <v>135</v>
      </c>
      <c r="L2" s="2">
        <v>162</v>
      </c>
      <c r="N2" s="2" t="s">
        <v>13</v>
      </c>
    </row>
    <row r="3" spans="1:14" x14ac:dyDescent="0.25">
      <c r="A3" s="2">
        <v>2</v>
      </c>
      <c r="B3" s="2">
        <v>1</v>
      </c>
      <c r="C3" s="2">
        <v>2</v>
      </c>
      <c r="D3" s="2">
        <f t="shared" si="0"/>
        <v>32</v>
      </c>
      <c r="E3" s="2">
        <f t="shared" si="1"/>
        <v>64</v>
      </c>
      <c r="G3" s="2" t="s">
        <v>10</v>
      </c>
      <c r="H3" s="2" t="s">
        <v>14</v>
      </c>
      <c r="J3" s="2" t="s">
        <v>15</v>
      </c>
      <c r="K3" s="2">
        <v>19</v>
      </c>
      <c r="L3" s="2">
        <v>24</v>
      </c>
      <c r="N3" s="2" t="s">
        <v>16</v>
      </c>
    </row>
    <row r="4" spans="1:14" x14ac:dyDescent="0.25">
      <c r="A4" s="2">
        <v>3</v>
      </c>
      <c r="B4" s="2">
        <v>1</v>
      </c>
      <c r="C4" s="2">
        <v>2</v>
      </c>
      <c r="D4" s="2">
        <f t="shared" si="0"/>
        <v>48</v>
      </c>
      <c r="E4" s="2">
        <f t="shared" si="1"/>
        <v>96</v>
      </c>
      <c r="G4" s="2" t="s">
        <v>10</v>
      </c>
      <c r="H4" s="2" t="s">
        <v>17</v>
      </c>
      <c r="J4" s="2" t="s">
        <v>18</v>
      </c>
      <c r="K4" s="2">
        <v>36</v>
      </c>
      <c r="L4" s="2">
        <v>44</v>
      </c>
      <c r="N4" s="2" t="s">
        <v>19</v>
      </c>
    </row>
    <row r="5" spans="1:14" x14ac:dyDescent="0.25">
      <c r="A5" s="2">
        <v>4</v>
      </c>
      <c r="B5" s="2">
        <v>1</v>
      </c>
      <c r="C5" s="2">
        <v>2</v>
      </c>
      <c r="D5" s="2">
        <f t="shared" si="0"/>
        <v>64</v>
      </c>
      <c r="E5" s="2">
        <f t="shared" si="1"/>
        <v>128</v>
      </c>
      <c r="G5" s="2" t="s">
        <v>10</v>
      </c>
      <c r="H5" s="2" t="s">
        <v>20</v>
      </c>
      <c r="J5" s="2" t="s">
        <v>21</v>
      </c>
      <c r="K5" s="2">
        <v>44</v>
      </c>
      <c r="L5" s="2">
        <v>48</v>
      </c>
    </row>
    <row r="6" spans="1:14" x14ac:dyDescent="0.25">
      <c r="A6" s="2">
        <v>5</v>
      </c>
      <c r="B6" s="2">
        <v>1</v>
      </c>
      <c r="C6" s="2">
        <v>2</v>
      </c>
      <c r="D6" s="2">
        <f t="shared" si="0"/>
        <v>80</v>
      </c>
      <c r="E6" s="2">
        <f t="shared" si="1"/>
        <v>160</v>
      </c>
      <c r="G6" s="2" t="s">
        <v>22</v>
      </c>
      <c r="H6" s="2" t="s">
        <v>23</v>
      </c>
      <c r="J6" s="2" t="s">
        <v>24</v>
      </c>
      <c r="K6" s="2">
        <v>80</v>
      </c>
      <c r="L6" s="2">
        <v>87</v>
      </c>
    </row>
    <row r="7" spans="1:14" x14ac:dyDescent="0.25">
      <c r="A7" s="2">
        <v>6</v>
      </c>
      <c r="B7" s="2">
        <v>1</v>
      </c>
      <c r="C7" s="2">
        <v>2</v>
      </c>
      <c r="D7" s="2">
        <f t="shared" si="0"/>
        <v>96</v>
      </c>
      <c r="E7" s="2">
        <f t="shared" si="1"/>
        <v>192</v>
      </c>
      <c r="G7" s="2" t="s">
        <v>22</v>
      </c>
      <c r="H7" s="2" t="s">
        <v>25</v>
      </c>
    </row>
    <row r="8" spans="1:14" x14ac:dyDescent="0.25">
      <c r="A8" s="2">
        <v>7</v>
      </c>
      <c r="B8" s="2">
        <v>1</v>
      </c>
      <c r="C8" s="2">
        <v>2</v>
      </c>
      <c r="D8" s="2">
        <f t="shared" si="0"/>
        <v>112</v>
      </c>
      <c r="E8" s="2">
        <f t="shared" si="1"/>
        <v>224</v>
      </c>
      <c r="G8" s="2" t="s">
        <v>22</v>
      </c>
      <c r="H8" s="2" t="s">
        <v>26</v>
      </c>
    </row>
    <row r="9" spans="1:14" x14ac:dyDescent="0.25">
      <c r="A9" s="2">
        <v>8</v>
      </c>
      <c r="B9" s="2">
        <v>1</v>
      </c>
      <c r="C9" s="2">
        <v>2</v>
      </c>
      <c r="D9" s="2">
        <f t="shared" si="0"/>
        <v>128</v>
      </c>
      <c r="E9" s="2">
        <f t="shared" si="1"/>
        <v>256</v>
      </c>
      <c r="G9" s="2" t="s">
        <v>22</v>
      </c>
      <c r="H9" s="2" t="s">
        <v>27</v>
      </c>
    </row>
    <row r="10" spans="1:14" x14ac:dyDescent="0.25">
      <c r="A10" s="2">
        <v>9</v>
      </c>
      <c r="B10" s="2">
        <v>1</v>
      </c>
      <c r="C10" s="2">
        <v>2</v>
      </c>
      <c r="D10" s="2">
        <f t="shared" si="0"/>
        <v>144</v>
      </c>
      <c r="E10" s="2">
        <f t="shared" si="1"/>
        <v>288</v>
      </c>
      <c r="G10" s="2" t="s">
        <v>22</v>
      </c>
      <c r="H10" s="2" t="s">
        <v>28</v>
      </c>
      <c r="J10" s="4"/>
    </row>
    <row r="11" spans="1:14" x14ac:dyDescent="0.25">
      <c r="A11" s="2">
        <v>10</v>
      </c>
      <c r="B11" s="2">
        <v>1</v>
      </c>
      <c r="C11" s="2">
        <v>2</v>
      </c>
      <c r="D11" s="2">
        <f t="shared" si="0"/>
        <v>160</v>
      </c>
      <c r="E11" s="2">
        <f t="shared" si="1"/>
        <v>320</v>
      </c>
      <c r="G11" s="2" t="s">
        <v>22</v>
      </c>
      <c r="H11" s="2" t="s">
        <v>29</v>
      </c>
    </row>
    <row r="12" spans="1:14" x14ac:dyDescent="0.25">
      <c r="A12" s="2">
        <v>1</v>
      </c>
      <c r="B12" s="2">
        <v>1</v>
      </c>
      <c r="C12" s="2">
        <v>3</v>
      </c>
      <c r="D12" s="2">
        <f t="shared" si="0"/>
        <v>12</v>
      </c>
      <c r="E12" s="2">
        <f t="shared" si="1"/>
        <v>36</v>
      </c>
    </row>
    <row r="13" spans="1:14" x14ac:dyDescent="0.25">
      <c r="A13" s="2">
        <v>2</v>
      </c>
      <c r="B13" s="2">
        <v>1</v>
      </c>
      <c r="C13" s="2">
        <v>3</v>
      </c>
      <c r="D13" s="2">
        <f t="shared" si="0"/>
        <v>24</v>
      </c>
      <c r="E13" s="2">
        <f t="shared" si="1"/>
        <v>72</v>
      </c>
    </row>
    <row r="14" spans="1:14" x14ac:dyDescent="0.25">
      <c r="A14" s="2">
        <v>3</v>
      </c>
      <c r="B14" s="2">
        <v>1</v>
      </c>
      <c r="C14" s="2">
        <v>3</v>
      </c>
      <c r="D14" s="2">
        <f t="shared" si="0"/>
        <v>36</v>
      </c>
      <c r="E14" s="2">
        <f t="shared" si="1"/>
        <v>108</v>
      </c>
    </row>
    <row r="15" spans="1:14" x14ac:dyDescent="0.25">
      <c r="A15" s="2">
        <v>4</v>
      </c>
      <c r="B15" s="2">
        <v>1</v>
      </c>
      <c r="C15" s="2">
        <v>3</v>
      </c>
      <c r="D15" s="2">
        <f t="shared" si="0"/>
        <v>48</v>
      </c>
      <c r="E15" s="2">
        <f t="shared" si="1"/>
        <v>144</v>
      </c>
      <c r="G15" s="2" t="s">
        <v>0</v>
      </c>
      <c r="H15" s="2" t="s">
        <v>30</v>
      </c>
    </row>
    <row r="16" spans="1:14" x14ac:dyDescent="0.25">
      <c r="A16" s="2">
        <v>5</v>
      </c>
      <c r="B16" s="2">
        <v>1</v>
      </c>
      <c r="C16" s="2">
        <v>3</v>
      </c>
      <c r="D16" s="2">
        <f t="shared" si="0"/>
        <v>60</v>
      </c>
      <c r="E16" s="2">
        <f t="shared" si="1"/>
        <v>180</v>
      </c>
      <c r="G16" s="2">
        <v>15</v>
      </c>
      <c r="H16" s="2">
        <f t="shared" ref="H16:H21" si="2">((G16*48)/16)/5</f>
        <v>9</v>
      </c>
    </row>
    <row r="17" spans="1:10" x14ac:dyDescent="0.25">
      <c r="A17" s="2">
        <v>6</v>
      </c>
      <c r="B17" s="2">
        <v>1</v>
      </c>
      <c r="C17" s="2">
        <v>3</v>
      </c>
      <c r="D17" s="2">
        <f t="shared" si="0"/>
        <v>72</v>
      </c>
      <c r="E17" s="2">
        <f t="shared" si="1"/>
        <v>216</v>
      </c>
      <c r="G17" s="2">
        <v>16</v>
      </c>
      <c r="H17" s="2">
        <f t="shared" si="2"/>
        <v>9.6</v>
      </c>
      <c r="J17" s="2">
        <f>D2/16</f>
        <v>2.0625</v>
      </c>
    </row>
    <row r="18" spans="1:10" x14ac:dyDescent="0.25">
      <c r="A18" s="2">
        <v>7</v>
      </c>
      <c r="B18" s="2">
        <v>1</v>
      </c>
      <c r="C18" s="2">
        <v>3</v>
      </c>
      <c r="D18" s="2">
        <f t="shared" si="0"/>
        <v>84</v>
      </c>
      <c r="E18" s="2">
        <f t="shared" si="1"/>
        <v>252</v>
      </c>
      <c r="G18" s="2">
        <v>17</v>
      </c>
      <c r="H18" s="2">
        <f t="shared" si="2"/>
        <v>10.199999999999999</v>
      </c>
      <c r="J18" s="2">
        <f>E2/16</f>
        <v>30.9375</v>
      </c>
    </row>
    <row r="19" spans="1:10" x14ac:dyDescent="0.25">
      <c r="A19" s="2">
        <v>8</v>
      </c>
      <c r="B19" s="2">
        <v>1</v>
      </c>
      <c r="C19" s="2">
        <v>3</v>
      </c>
      <c r="D19" s="2">
        <f t="shared" si="0"/>
        <v>96</v>
      </c>
      <c r="E19" s="2">
        <f t="shared" si="1"/>
        <v>288</v>
      </c>
      <c r="G19" s="2">
        <v>18</v>
      </c>
      <c r="H19" s="2">
        <f t="shared" si="2"/>
        <v>10.8</v>
      </c>
    </row>
    <row r="20" spans="1:10" x14ac:dyDescent="0.25">
      <c r="A20" s="2">
        <v>9</v>
      </c>
      <c r="B20" s="2">
        <v>1</v>
      </c>
      <c r="C20" s="2">
        <v>3</v>
      </c>
      <c r="D20" s="2">
        <f t="shared" si="0"/>
        <v>108</v>
      </c>
      <c r="E20" s="2">
        <f t="shared" si="1"/>
        <v>324</v>
      </c>
      <c r="G20" s="2">
        <v>19</v>
      </c>
      <c r="H20" s="2">
        <f t="shared" si="2"/>
        <v>11.4</v>
      </c>
    </row>
    <row r="21" spans="1:10" x14ac:dyDescent="0.25">
      <c r="A21" s="2">
        <v>10</v>
      </c>
      <c r="B21" s="2">
        <v>1</v>
      </c>
      <c r="C21" s="2">
        <v>3</v>
      </c>
      <c r="D21" s="2">
        <f t="shared" si="0"/>
        <v>120</v>
      </c>
      <c r="E21" s="2">
        <f t="shared" si="1"/>
        <v>360</v>
      </c>
      <c r="G21" s="2">
        <v>20</v>
      </c>
      <c r="H21" s="2">
        <f t="shared" si="2"/>
        <v>12</v>
      </c>
    </row>
    <row r="22" spans="1:10" x14ac:dyDescent="0.25">
      <c r="A22" s="2">
        <v>1</v>
      </c>
      <c r="B22" s="2">
        <v>1</v>
      </c>
      <c r="C22" s="2">
        <v>5</v>
      </c>
      <c r="D22" s="2">
        <f t="shared" si="0"/>
        <v>8</v>
      </c>
      <c r="E22" s="2">
        <f t="shared" si="1"/>
        <v>40</v>
      </c>
    </row>
    <row r="23" spans="1:10" x14ac:dyDescent="0.25">
      <c r="A23" s="2">
        <v>2</v>
      </c>
      <c r="B23" s="2">
        <v>1</v>
      </c>
      <c r="C23" s="2">
        <v>5</v>
      </c>
      <c r="D23" s="2">
        <f t="shared" si="0"/>
        <v>16</v>
      </c>
      <c r="E23" s="2">
        <f t="shared" si="1"/>
        <v>80</v>
      </c>
    </row>
    <row r="24" spans="1:10" x14ac:dyDescent="0.25">
      <c r="A24" s="2">
        <v>3</v>
      </c>
      <c r="B24" s="2">
        <v>1</v>
      </c>
      <c r="C24" s="2">
        <v>5</v>
      </c>
      <c r="D24" s="2">
        <f t="shared" si="0"/>
        <v>24</v>
      </c>
      <c r="E24" s="2">
        <f t="shared" si="1"/>
        <v>120</v>
      </c>
    </row>
    <row r="25" spans="1:10" x14ac:dyDescent="0.25">
      <c r="A25" s="2">
        <v>4</v>
      </c>
      <c r="B25" s="2">
        <v>1</v>
      </c>
      <c r="C25" s="2">
        <v>5</v>
      </c>
      <c r="D25" s="2">
        <f t="shared" si="0"/>
        <v>32</v>
      </c>
      <c r="E25" s="2">
        <f t="shared" si="1"/>
        <v>160</v>
      </c>
    </row>
    <row r="26" spans="1:10" x14ac:dyDescent="0.25">
      <c r="A26" s="2">
        <v>5</v>
      </c>
      <c r="B26" s="2">
        <v>1</v>
      </c>
      <c r="C26" s="2">
        <v>5</v>
      </c>
      <c r="D26" s="2">
        <f t="shared" si="0"/>
        <v>40</v>
      </c>
      <c r="E26" s="2">
        <f t="shared" si="1"/>
        <v>200</v>
      </c>
    </row>
    <row r="27" spans="1:10" x14ac:dyDescent="0.25">
      <c r="A27" s="2">
        <v>6</v>
      </c>
      <c r="B27" s="2">
        <v>1</v>
      </c>
      <c r="C27" s="2">
        <v>5</v>
      </c>
      <c r="D27" s="2">
        <f t="shared" si="0"/>
        <v>48</v>
      </c>
      <c r="E27" s="2">
        <f t="shared" si="1"/>
        <v>240</v>
      </c>
    </row>
    <row r="28" spans="1:10" x14ac:dyDescent="0.25">
      <c r="A28" s="2">
        <v>7</v>
      </c>
      <c r="B28" s="2">
        <v>1</v>
      </c>
      <c r="C28" s="2">
        <v>5</v>
      </c>
      <c r="D28" s="2">
        <f t="shared" si="0"/>
        <v>56</v>
      </c>
      <c r="E28" s="2">
        <f t="shared" si="1"/>
        <v>280</v>
      </c>
    </row>
    <row r="29" spans="1:10" x14ac:dyDescent="0.25">
      <c r="A29" s="2">
        <v>8</v>
      </c>
      <c r="B29" s="2">
        <v>1</v>
      </c>
      <c r="C29" s="2">
        <v>5</v>
      </c>
      <c r="D29" s="2">
        <f t="shared" si="0"/>
        <v>64</v>
      </c>
      <c r="E29" s="2">
        <f t="shared" si="1"/>
        <v>320</v>
      </c>
    </row>
    <row r="30" spans="1:10" x14ac:dyDescent="0.25">
      <c r="A30" s="2">
        <v>9</v>
      </c>
      <c r="B30" s="2">
        <v>1</v>
      </c>
      <c r="C30" s="2">
        <v>5</v>
      </c>
      <c r="D30" s="2">
        <f t="shared" si="0"/>
        <v>72</v>
      </c>
      <c r="E30" s="2">
        <f t="shared" si="1"/>
        <v>360</v>
      </c>
    </row>
    <row r="31" spans="1:10" x14ac:dyDescent="0.25">
      <c r="A31" s="2">
        <v>10</v>
      </c>
      <c r="B31" s="2">
        <v>1</v>
      </c>
      <c r="C31" s="2">
        <v>5</v>
      </c>
      <c r="D31" s="2">
        <f t="shared" si="0"/>
        <v>80</v>
      </c>
      <c r="E31" s="2">
        <f t="shared" si="1"/>
        <v>400</v>
      </c>
    </row>
    <row r="32" spans="1:10" x14ac:dyDescent="0.25">
      <c r="A32" s="2">
        <v>1</v>
      </c>
      <c r="B32" s="2">
        <v>2</v>
      </c>
      <c r="C32" s="2">
        <v>1</v>
      </c>
      <c r="D32" s="2">
        <f t="shared" si="0"/>
        <v>32</v>
      </c>
      <c r="E32" s="2">
        <f t="shared" si="1"/>
        <v>16</v>
      </c>
    </row>
    <row r="33" spans="1:5" x14ac:dyDescent="0.25">
      <c r="A33" s="2">
        <v>2</v>
      </c>
      <c r="B33" s="2">
        <v>2</v>
      </c>
      <c r="C33" s="2">
        <v>1</v>
      </c>
      <c r="D33" s="2">
        <f t="shared" si="0"/>
        <v>64</v>
      </c>
      <c r="E33" s="2">
        <f t="shared" si="1"/>
        <v>32</v>
      </c>
    </row>
    <row r="34" spans="1:5" x14ac:dyDescent="0.25">
      <c r="A34" s="2">
        <v>3</v>
      </c>
      <c r="B34" s="2">
        <v>2</v>
      </c>
      <c r="C34" s="2">
        <v>1</v>
      </c>
      <c r="D34" s="2">
        <f t="shared" si="0"/>
        <v>96</v>
      </c>
      <c r="E34" s="2">
        <f t="shared" si="1"/>
        <v>48</v>
      </c>
    </row>
    <row r="35" spans="1:5" x14ac:dyDescent="0.25">
      <c r="A35" s="2">
        <v>4</v>
      </c>
      <c r="B35" s="2">
        <v>2</v>
      </c>
      <c r="C35" s="2">
        <v>1</v>
      </c>
      <c r="D35" s="2">
        <f t="shared" si="0"/>
        <v>128</v>
      </c>
      <c r="E35" s="2">
        <f t="shared" si="1"/>
        <v>64</v>
      </c>
    </row>
    <row r="36" spans="1:5" x14ac:dyDescent="0.25">
      <c r="A36" s="2">
        <v>5</v>
      </c>
      <c r="B36" s="2">
        <v>2</v>
      </c>
      <c r="C36" s="2">
        <v>1</v>
      </c>
      <c r="D36" s="2">
        <f t="shared" si="0"/>
        <v>160</v>
      </c>
      <c r="E36" s="2">
        <f t="shared" si="1"/>
        <v>80</v>
      </c>
    </row>
    <row r="37" spans="1:5" x14ac:dyDescent="0.25">
      <c r="A37" s="2">
        <v>6</v>
      </c>
      <c r="B37" s="2">
        <v>2</v>
      </c>
      <c r="C37" s="2">
        <v>1</v>
      </c>
      <c r="D37" s="2">
        <f t="shared" si="0"/>
        <v>192</v>
      </c>
      <c r="E37" s="2">
        <f t="shared" si="1"/>
        <v>96</v>
      </c>
    </row>
    <row r="38" spans="1:5" x14ac:dyDescent="0.25">
      <c r="A38" s="2">
        <v>7</v>
      </c>
      <c r="B38" s="2">
        <v>2</v>
      </c>
      <c r="C38" s="2">
        <v>1</v>
      </c>
      <c r="D38" s="2">
        <f t="shared" si="0"/>
        <v>224</v>
      </c>
      <c r="E38" s="2">
        <f t="shared" si="1"/>
        <v>112</v>
      </c>
    </row>
    <row r="39" spans="1:5" x14ac:dyDescent="0.25">
      <c r="A39" s="2">
        <v>8</v>
      </c>
      <c r="B39" s="2">
        <v>2</v>
      </c>
      <c r="C39" s="2">
        <v>1</v>
      </c>
      <c r="D39" s="2">
        <f t="shared" si="0"/>
        <v>256</v>
      </c>
      <c r="E39" s="2">
        <f t="shared" si="1"/>
        <v>128</v>
      </c>
    </row>
    <row r="40" spans="1:5" x14ac:dyDescent="0.25">
      <c r="A40" s="2">
        <v>9</v>
      </c>
      <c r="B40" s="2">
        <v>2</v>
      </c>
      <c r="C40" s="2">
        <v>1</v>
      </c>
      <c r="D40" s="2">
        <f t="shared" si="0"/>
        <v>288</v>
      </c>
      <c r="E40" s="2">
        <f t="shared" si="1"/>
        <v>144</v>
      </c>
    </row>
    <row r="41" spans="1:5" x14ac:dyDescent="0.25">
      <c r="A41" s="2">
        <v>10</v>
      </c>
      <c r="B41" s="2">
        <v>2</v>
      </c>
      <c r="C41" s="2">
        <v>1</v>
      </c>
      <c r="D41" s="2">
        <f t="shared" si="0"/>
        <v>320</v>
      </c>
      <c r="E41" s="2">
        <f t="shared" si="1"/>
        <v>160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44"/>
  <sheetViews>
    <sheetView topLeftCell="A6" zoomScale="110" zoomScaleNormal="110" workbookViewId="0">
      <selection activeCell="F37" sqref="F37"/>
    </sheetView>
  </sheetViews>
  <sheetFormatPr baseColWidth="10" defaultColWidth="11.42578125" defaultRowHeight="11.25" x14ac:dyDescent="0.2"/>
  <cols>
    <col min="1" max="1" width="20.5703125" style="5" customWidth="1"/>
    <col min="2" max="2" width="34" style="5" customWidth="1"/>
    <col min="3" max="3" width="29" style="5" customWidth="1"/>
    <col min="4" max="4" width="31" style="5" customWidth="1"/>
    <col min="5" max="5" width="34" style="5" customWidth="1"/>
    <col min="6" max="6" width="7" style="5" bestFit="1" customWidth="1"/>
    <col min="7" max="7" width="11.42578125" style="5"/>
    <col min="8" max="8" width="15.140625" style="5" bestFit="1" customWidth="1"/>
    <col min="9" max="9" width="13.42578125" style="5" customWidth="1"/>
    <col min="10" max="16384" width="11.42578125" style="5"/>
  </cols>
  <sheetData>
    <row r="2" spans="1:3" x14ac:dyDescent="0.2">
      <c r="A2" s="6" t="s">
        <v>31</v>
      </c>
      <c r="B2" s="7" t="s">
        <v>32</v>
      </c>
      <c r="C2" s="6"/>
    </row>
    <row r="3" spans="1:3" ht="33.75" x14ac:dyDescent="0.2">
      <c r="A3" s="6" t="s">
        <v>33</v>
      </c>
      <c r="B3" s="8" t="s">
        <v>34</v>
      </c>
      <c r="C3" s="6"/>
    </row>
    <row r="4" spans="1:3" ht="33.75" x14ac:dyDescent="0.2">
      <c r="A4" s="6" t="s">
        <v>35</v>
      </c>
      <c r="B4" s="9" t="s">
        <v>36</v>
      </c>
      <c r="C4" s="6"/>
    </row>
    <row r="5" spans="1:3" ht="56.25" x14ac:dyDescent="0.2">
      <c r="A5" s="6" t="s">
        <v>37</v>
      </c>
      <c r="B5" s="10" t="s">
        <v>38</v>
      </c>
      <c r="C5" s="6"/>
    </row>
    <row r="6" spans="1:3" ht="33.75" x14ac:dyDescent="0.2">
      <c r="A6" s="6" t="s">
        <v>39</v>
      </c>
      <c r="B6" s="9" t="s">
        <v>40</v>
      </c>
      <c r="C6" s="6"/>
    </row>
    <row r="7" spans="1:3" ht="33.75" x14ac:dyDescent="0.2">
      <c r="A7" s="6" t="s">
        <v>41</v>
      </c>
      <c r="B7" s="10" t="s">
        <v>42</v>
      </c>
      <c r="C7" s="6"/>
    </row>
    <row r="8" spans="1:3" ht="33.75" x14ac:dyDescent="0.2">
      <c r="A8" s="6" t="s">
        <v>43</v>
      </c>
      <c r="B8" s="9" t="s">
        <v>44</v>
      </c>
      <c r="C8" s="6"/>
    </row>
    <row r="9" spans="1:3" ht="45" x14ac:dyDescent="0.2">
      <c r="A9" s="6" t="s">
        <v>45</v>
      </c>
      <c r="B9" s="10" t="s">
        <v>46</v>
      </c>
      <c r="C9" s="6"/>
    </row>
    <row r="10" spans="1:3" ht="45" x14ac:dyDescent="0.2">
      <c r="A10" s="6" t="s">
        <v>47</v>
      </c>
      <c r="B10" s="9" t="s">
        <v>48</v>
      </c>
      <c r="C10" s="6"/>
    </row>
    <row r="11" spans="1:3" ht="33.75" x14ac:dyDescent="0.2">
      <c r="A11" s="6" t="s">
        <v>49</v>
      </c>
      <c r="B11" s="10" t="s">
        <v>50</v>
      </c>
      <c r="C11" s="6"/>
    </row>
    <row r="14" spans="1:3" x14ac:dyDescent="0.2">
      <c r="A14" s="5" t="s">
        <v>54</v>
      </c>
      <c r="B14" s="5" t="s">
        <v>55</v>
      </c>
    </row>
    <row r="15" spans="1:3" ht="33.75" x14ac:dyDescent="0.2">
      <c r="A15" s="5" t="s">
        <v>56</v>
      </c>
      <c r="B15" s="11" t="s">
        <v>57</v>
      </c>
    </row>
    <row r="16" spans="1:3" ht="45" x14ac:dyDescent="0.2">
      <c r="A16" s="5" t="s">
        <v>58</v>
      </c>
      <c r="B16" s="11" t="s">
        <v>59</v>
      </c>
    </row>
    <row r="17" spans="1:12" ht="45" x14ac:dyDescent="0.2">
      <c r="A17" s="5" t="s">
        <v>60</v>
      </c>
      <c r="B17" s="11" t="s">
        <v>61</v>
      </c>
    </row>
    <row r="19" spans="1:12" x14ac:dyDescent="0.2">
      <c r="A19" s="5" t="s">
        <v>62</v>
      </c>
      <c r="B19" s="5" t="s">
        <v>0</v>
      </c>
      <c r="C19" s="5" t="s">
        <v>126</v>
      </c>
      <c r="D19" s="5" t="s">
        <v>127</v>
      </c>
      <c r="E19" s="5" t="s">
        <v>113</v>
      </c>
      <c r="F19" s="5" t="s">
        <v>128</v>
      </c>
      <c r="G19" s="5" t="s">
        <v>129</v>
      </c>
      <c r="H19" s="5" t="s">
        <v>90</v>
      </c>
      <c r="I19" s="5" t="s">
        <v>54</v>
      </c>
      <c r="J19" s="5" t="s">
        <v>131</v>
      </c>
      <c r="K19" s="5" t="s">
        <v>132</v>
      </c>
      <c r="L19" s="5" t="s">
        <v>133</v>
      </c>
    </row>
    <row r="20" spans="1:12" x14ac:dyDescent="0.2">
      <c r="A20" s="5" t="s">
        <v>63</v>
      </c>
      <c r="B20" s="5">
        <v>2</v>
      </c>
      <c r="C20" s="5">
        <f>Tabla5[[#This Row],[Créditos]]*16</f>
        <v>32</v>
      </c>
      <c r="D20" s="5">
        <f>Tabla5[[#This Row],[Créditos]]*32</f>
        <v>64</v>
      </c>
      <c r="E20" s="5">
        <f>Tabla5[[#This Row],[Horas presenciales]]+Tabla5[[#This Row],[Horas independientes]]</f>
        <v>96</v>
      </c>
      <c r="F20" s="5">
        <v>1</v>
      </c>
      <c r="G20" s="5" t="s">
        <v>51</v>
      </c>
      <c r="H20" s="5" t="s">
        <v>53</v>
      </c>
      <c r="I20" s="5" t="s">
        <v>56</v>
      </c>
      <c r="J20" s="5">
        <v>10461</v>
      </c>
      <c r="K20" s="5">
        <v>1</v>
      </c>
    </row>
    <row r="21" spans="1:12" x14ac:dyDescent="0.2">
      <c r="A21" s="5" t="s">
        <v>130</v>
      </c>
      <c r="B21" s="5">
        <v>1</v>
      </c>
      <c r="C21" s="5">
        <f>Tabla5[[#This Row],[Créditos]]*16</f>
        <v>16</v>
      </c>
      <c r="D21" s="5">
        <f>Tabla5[[#This Row],[Créditos]]*32</f>
        <v>32</v>
      </c>
      <c r="E21" s="5">
        <f>Tabla5[[#This Row],[Horas presenciales]]+Tabla5[[#This Row],[Horas independientes]]</f>
        <v>48</v>
      </c>
      <c r="F21" s="5">
        <v>1</v>
      </c>
      <c r="G21" s="5" t="s">
        <v>51</v>
      </c>
      <c r="H21" s="5" t="s">
        <v>53</v>
      </c>
      <c r="I21" s="5" t="s">
        <v>56</v>
      </c>
      <c r="J21" s="5">
        <v>10463</v>
      </c>
      <c r="K21" s="5">
        <v>2</v>
      </c>
    </row>
    <row r="22" spans="1:12" x14ac:dyDescent="0.2">
      <c r="A22" s="5" t="s">
        <v>64</v>
      </c>
      <c r="B22" s="5">
        <v>2</v>
      </c>
      <c r="C22" s="5">
        <f>Tabla5[[#This Row],[Créditos]]*16</f>
        <v>32</v>
      </c>
      <c r="D22" s="5">
        <f>Tabla5[[#This Row],[Créditos]]*32</f>
        <v>64</v>
      </c>
      <c r="E22" s="5">
        <f>Tabla5[[#This Row],[Horas presenciales]]+Tabla5[[#This Row],[Horas independientes]]</f>
        <v>96</v>
      </c>
      <c r="F22" s="5">
        <v>1</v>
      </c>
      <c r="G22" s="5" t="s">
        <v>51</v>
      </c>
      <c r="H22" s="5" t="s">
        <v>53</v>
      </c>
      <c r="I22" s="5" t="s">
        <v>56</v>
      </c>
      <c r="J22" s="5">
        <v>10460</v>
      </c>
      <c r="K22" s="5">
        <v>1</v>
      </c>
    </row>
    <row r="23" spans="1:12" x14ac:dyDescent="0.2">
      <c r="A23" s="5" t="s">
        <v>65</v>
      </c>
      <c r="B23" s="5">
        <v>1</v>
      </c>
      <c r="C23" s="5">
        <f>Tabla5[[#This Row],[Créditos]]*16</f>
        <v>16</v>
      </c>
      <c r="D23" s="5">
        <f>Tabla5[[#This Row],[Créditos]]*32</f>
        <v>32</v>
      </c>
      <c r="E23" s="5">
        <f>Tabla5[[#This Row],[Horas presenciales]]+Tabla5[[#This Row],[Horas independientes]]</f>
        <v>48</v>
      </c>
      <c r="F23" s="5">
        <v>1</v>
      </c>
      <c r="G23" s="5" t="s">
        <v>51</v>
      </c>
      <c r="H23" s="5" t="s">
        <v>53</v>
      </c>
      <c r="I23" s="5" t="s">
        <v>56</v>
      </c>
      <c r="J23" s="5">
        <v>5211</v>
      </c>
      <c r="K23" s="5">
        <v>1</v>
      </c>
      <c r="L23" s="5">
        <v>2</v>
      </c>
    </row>
    <row r="24" spans="1:12" x14ac:dyDescent="0.2">
      <c r="A24" s="5" t="s">
        <v>66</v>
      </c>
      <c r="B24" s="5">
        <v>2</v>
      </c>
      <c r="C24" s="5">
        <f>Tabla5[[#This Row],[Créditos]]*16</f>
        <v>32</v>
      </c>
      <c r="D24" s="5">
        <f>Tabla5[[#This Row],[Créditos]]*32</f>
        <v>64</v>
      </c>
      <c r="E24" s="5">
        <f>Tabla5[[#This Row],[Horas presenciales]]+Tabla5[[#This Row],[Horas independientes]]</f>
        <v>96</v>
      </c>
      <c r="F24" s="5">
        <v>1</v>
      </c>
      <c r="G24" s="5" t="s">
        <v>51</v>
      </c>
      <c r="H24" s="5" t="s">
        <v>53</v>
      </c>
      <c r="I24" s="5" t="s">
        <v>56</v>
      </c>
      <c r="J24" s="5">
        <v>10462</v>
      </c>
      <c r="K24" s="5">
        <v>1</v>
      </c>
    </row>
    <row r="25" spans="1:12" x14ac:dyDescent="0.2">
      <c r="A25" s="5" t="s">
        <v>67</v>
      </c>
      <c r="B25" s="5">
        <v>2</v>
      </c>
      <c r="C25" s="5">
        <f>Tabla5[[#This Row],[Créditos]]*16</f>
        <v>32</v>
      </c>
      <c r="D25" s="5">
        <f>Tabla5[[#This Row],[Créditos]]*32</f>
        <v>64</v>
      </c>
      <c r="E25" s="5">
        <f>Tabla5[[#This Row],[Horas presenciales]]+Tabla5[[#This Row],[Horas independientes]]</f>
        <v>96</v>
      </c>
      <c r="F25" s="5">
        <v>1</v>
      </c>
      <c r="G25" s="5" t="s">
        <v>51</v>
      </c>
      <c r="H25" s="5" t="s">
        <v>53</v>
      </c>
      <c r="I25" s="5" t="s">
        <v>60</v>
      </c>
      <c r="J25" s="5">
        <v>10465</v>
      </c>
      <c r="K25" s="5">
        <v>1</v>
      </c>
      <c r="L25" s="5">
        <v>2</v>
      </c>
    </row>
    <row r="26" spans="1:12" x14ac:dyDescent="0.2">
      <c r="A26" s="5" t="s">
        <v>68</v>
      </c>
      <c r="B26" s="5">
        <v>2</v>
      </c>
      <c r="C26" s="5">
        <f>Tabla5[[#This Row],[Créditos]]*16</f>
        <v>32</v>
      </c>
      <c r="D26" s="5">
        <f>Tabla5[[#This Row],[Créditos]]*32</f>
        <v>64</v>
      </c>
      <c r="E26" s="5">
        <f>Tabla5[[#This Row],[Horas presenciales]]+Tabla5[[#This Row],[Horas independientes]]</f>
        <v>96</v>
      </c>
      <c r="F26" s="5">
        <v>1</v>
      </c>
      <c r="G26" s="5" t="s">
        <v>52</v>
      </c>
      <c r="H26" s="5" t="s">
        <v>53</v>
      </c>
      <c r="I26" s="5" t="s">
        <v>58</v>
      </c>
      <c r="J26" s="5">
        <v>10464</v>
      </c>
      <c r="K26" s="5">
        <v>1</v>
      </c>
      <c r="L26" s="5">
        <v>2</v>
      </c>
    </row>
    <row r="27" spans="1:12" x14ac:dyDescent="0.2">
      <c r="A27" s="5" t="s">
        <v>69</v>
      </c>
      <c r="B27" s="5">
        <v>3</v>
      </c>
      <c r="C27" s="5">
        <f>Tabla5[[#This Row],[Créditos]]*16</f>
        <v>48</v>
      </c>
      <c r="D27" s="5">
        <f>Tabla5[[#This Row],[Créditos]]*32</f>
        <v>96</v>
      </c>
      <c r="E27" s="5">
        <f>Tabla5[[#This Row],[Horas presenciales]]+Tabla5[[#This Row],[Horas independientes]]</f>
        <v>144</v>
      </c>
      <c r="F27" s="5">
        <v>2</v>
      </c>
      <c r="G27" s="5" t="s">
        <v>51</v>
      </c>
      <c r="H27" s="5" t="s">
        <v>53</v>
      </c>
      <c r="I27" s="5" t="s">
        <v>56</v>
      </c>
      <c r="J27" s="5">
        <v>10466</v>
      </c>
      <c r="K27" s="5">
        <v>2</v>
      </c>
    </row>
    <row r="28" spans="1:12" x14ac:dyDescent="0.2">
      <c r="A28" s="5" t="s">
        <v>70</v>
      </c>
      <c r="B28" s="5">
        <v>2</v>
      </c>
      <c r="C28" s="5">
        <f>Tabla5[[#This Row],[Créditos]]*16</f>
        <v>32</v>
      </c>
      <c r="D28" s="5">
        <f>Tabla5[[#This Row],[Créditos]]*32</f>
        <v>64</v>
      </c>
      <c r="E28" s="5">
        <f>Tabla5[[#This Row],[Horas presenciales]]+Tabla5[[#This Row],[Horas independientes]]</f>
        <v>96</v>
      </c>
      <c r="F28" s="5">
        <v>2</v>
      </c>
      <c r="G28" s="5" t="s">
        <v>51</v>
      </c>
      <c r="H28" s="5" t="s">
        <v>53</v>
      </c>
      <c r="I28" s="5" t="s">
        <v>56</v>
      </c>
      <c r="J28" s="5">
        <v>10468</v>
      </c>
      <c r="K28" s="5">
        <v>2</v>
      </c>
    </row>
    <row r="29" spans="1:12" x14ac:dyDescent="0.2">
      <c r="A29" s="5" t="s">
        <v>71</v>
      </c>
      <c r="B29" s="5">
        <v>1</v>
      </c>
      <c r="C29" s="5">
        <f>Tabla5[[#This Row],[Créditos]]*16</f>
        <v>16</v>
      </c>
      <c r="D29" s="5">
        <f>Tabla5[[#This Row],[Créditos]]*32</f>
        <v>32</v>
      </c>
      <c r="E29" s="5">
        <f>Tabla5[[#This Row],[Horas presenciales]]+Tabla5[[#This Row],[Horas independientes]]</f>
        <v>48</v>
      </c>
      <c r="F29" s="5">
        <v>2</v>
      </c>
      <c r="G29" s="5" t="s">
        <v>51</v>
      </c>
      <c r="H29" s="5" t="s">
        <v>53</v>
      </c>
      <c r="I29" s="5" t="s">
        <v>56</v>
      </c>
      <c r="J29" s="5">
        <v>10469</v>
      </c>
      <c r="K29" s="5">
        <v>1</v>
      </c>
    </row>
    <row r="30" spans="1:12" x14ac:dyDescent="0.2">
      <c r="A30" s="5" t="s">
        <v>72</v>
      </c>
      <c r="B30" s="5">
        <v>2</v>
      </c>
      <c r="C30" s="5">
        <f>Tabla5[[#This Row],[Créditos]]*16</f>
        <v>32</v>
      </c>
      <c r="D30" s="5">
        <f>Tabla5[[#This Row],[Créditos]]*32</f>
        <v>64</v>
      </c>
      <c r="E30" s="5">
        <f>Tabla5[[#This Row],[Horas presenciales]]+Tabla5[[#This Row],[Horas independientes]]</f>
        <v>96</v>
      </c>
      <c r="F30" s="5">
        <v>2</v>
      </c>
      <c r="G30" s="5" t="s">
        <v>51</v>
      </c>
      <c r="H30" s="5" t="s">
        <v>53</v>
      </c>
      <c r="I30" s="5" t="s">
        <v>56</v>
      </c>
      <c r="J30" s="5">
        <v>10467</v>
      </c>
      <c r="K30" s="5">
        <v>2</v>
      </c>
    </row>
    <row r="31" spans="1:12" x14ac:dyDescent="0.2">
      <c r="A31" s="5" t="s">
        <v>73</v>
      </c>
      <c r="B31" s="5">
        <v>2</v>
      </c>
      <c r="C31" s="5">
        <f>Tabla5[[#This Row],[Créditos]]*16</f>
        <v>32</v>
      </c>
      <c r="D31" s="5">
        <f>Tabla5[[#This Row],[Créditos]]*32</f>
        <v>64</v>
      </c>
      <c r="E31" s="5">
        <f>Tabla5[[#This Row],[Horas presenciales]]+Tabla5[[#This Row],[Horas independientes]]</f>
        <v>96</v>
      </c>
      <c r="F31" s="5">
        <v>2</v>
      </c>
      <c r="G31" s="5" t="s">
        <v>51</v>
      </c>
      <c r="H31" s="5" t="s">
        <v>53</v>
      </c>
      <c r="I31" s="5" t="s">
        <v>60</v>
      </c>
      <c r="J31" s="5">
        <v>10471</v>
      </c>
      <c r="K31" s="5">
        <v>2</v>
      </c>
    </row>
    <row r="32" spans="1:12" x14ac:dyDescent="0.2">
      <c r="A32" s="5" t="s">
        <v>74</v>
      </c>
      <c r="B32" s="5">
        <v>2</v>
      </c>
      <c r="C32" s="5">
        <f>Tabla5[[#This Row],[Créditos]]*16</f>
        <v>32</v>
      </c>
      <c r="D32" s="5">
        <f>Tabla5[[#This Row],[Créditos]]*32</f>
        <v>64</v>
      </c>
      <c r="E32" s="5">
        <f>Tabla5[[#This Row],[Horas presenciales]]+Tabla5[[#This Row],[Horas independientes]]</f>
        <v>96</v>
      </c>
      <c r="F32" s="5">
        <v>2</v>
      </c>
      <c r="G32" s="5" t="s">
        <v>52</v>
      </c>
      <c r="H32" s="5" t="s">
        <v>53</v>
      </c>
      <c r="I32" s="5" t="s">
        <v>58</v>
      </c>
      <c r="J32" s="5">
        <v>10470</v>
      </c>
      <c r="K32" s="5">
        <v>2</v>
      </c>
      <c r="L32" s="5">
        <v>1</v>
      </c>
    </row>
    <row r="35" spans="1:5" x14ac:dyDescent="0.2">
      <c r="A35" s="32" t="s">
        <v>134</v>
      </c>
      <c r="B35" s="5" t="s">
        <v>75</v>
      </c>
      <c r="C35" s="5" t="s">
        <v>76</v>
      </c>
      <c r="D35" s="5" t="s">
        <v>77</v>
      </c>
      <c r="E35" s="5" t="s">
        <v>78</v>
      </c>
    </row>
    <row r="36" spans="1:5" ht="118.5" customHeight="1" x14ac:dyDescent="0.2">
      <c r="A36" s="33">
        <v>1</v>
      </c>
      <c r="B36" s="11" t="s">
        <v>119</v>
      </c>
      <c r="C36" s="11" t="s">
        <v>118</v>
      </c>
      <c r="D36" s="11" t="s">
        <v>120</v>
      </c>
      <c r="E36" s="11" t="s">
        <v>121</v>
      </c>
    </row>
    <row r="37" spans="1:5" ht="84.75" customHeight="1" x14ac:dyDescent="0.2">
      <c r="A37" s="34">
        <v>2</v>
      </c>
      <c r="B37" s="11" t="s">
        <v>123</v>
      </c>
      <c r="C37" s="11" t="s">
        <v>122</v>
      </c>
      <c r="D37" s="11" t="s">
        <v>124</v>
      </c>
      <c r="E37" s="11" t="s">
        <v>125</v>
      </c>
    </row>
    <row r="38" spans="1:5" x14ac:dyDescent="0.2">
      <c r="A38" s="11">
        <v>0</v>
      </c>
      <c r="B38" s="35" t="s">
        <v>135</v>
      </c>
      <c r="C38" s="35" t="s">
        <v>135</v>
      </c>
      <c r="D38" s="35" t="s">
        <v>135</v>
      </c>
      <c r="E38" s="35" t="s">
        <v>135</v>
      </c>
    </row>
    <row r="41" spans="1:5" x14ac:dyDescent="0.2">
      <c r="B41" s="11"/>
    </row>
    <row r="42" spans="1:5" ht="85.5" customHeight="1" x14ac:dyDescent="0.2">
      <c r="B42" s="11"/>
    </row>
    <row r="43" spans="1:5" ht="72" customHeight="1" x14ac:dyDescent="0.2">
      <c r="B43" s="11"/>
    </row>
    <row r="44" spans="1:5" ht="80.25" customHeight="1" x14ac:dyDescent="0.2">
      <c r="B44" s="11"/>
    </row>
  </sheetData>
  <phoneticPr fontId="11" type="noConversion"/>
  <pageMargins left="0.7" right="0.7" top="0.75" bottom="0.75" header="0.511811023622047" footer="0.511811023622047"/>
  <pageSetup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6"/>
  <sheetViews>
    <sheetView showGridLines="0" tabSelected="1" topLeftCell="A31" zoomScale="130" zoomScaleNormal="130" zoomScalePageLayoutView="90" workbookViewId="0">
      <selection activeCell="A34" sqref="A34:G34"/>
    </sheetView>
  </sheetViews>
  <sheetFormatPr baseColWidth="10" defaultColWidth="11.42578125" defaultRowHeight="11.25" zeroHeight="1" x14ac:dyDescent="0.2"/>
  <cols>
    <col min="1" max="1" width="26.7109375" style="12" customWidth="1"/>
    <col min="2" max="2" width="36" style="12" customWidth="1"/>
    <col min="3" max="3" width="27" style="12" customWidth="1"/>
    <col min="4" max="4" width="23.28515625" style="12" customWidth="1"/>
    <col min="5" max="5" width="14" style="12" customWidth="1"/>
    <col min="6" max="6" width="12.5703125" style="12" customWidth="1"/>
    <col min="7" max="7" width="8.7109375" style="12" customWidth="1"/>
    <col min="8" max="8" width="2.28515625" style="13" hidden="1" customWidth="1"/>
    <col min="9" max="16384" width="11.42578125" style="13"/>
  </cols>
  <sheetData>
    <row r="1" spans="1:7" s="12" customFormat="1" ht="19.5" customHeight="1" x14ac:dyDescent="0.2">
      <c r="A1" s="63"/>
      <c r="B1" s="64" t="s">
        <v>79</v>
      </c>
      <c r="C1" s="64"/>
      <c r="D1" s="64"/>
      <c r="E1" s="64"/>
      <c r="F1" s="65" t="s">
        <v>80</v>
      </c>
      <c r="G1" s="65"/>
    </row>
    <row r="2" spans="1:7" s="12" customFormat="1" ht="19.5" customHeight="1" x14ac:dyDescent="0.2">
      <c r="A2" s="63"/>
      <c r="B2" s="64"/>
      <c r="C2" s="64"/>
      <c r="D2" s="64"/>
      <c r="E2" s="64"/>
      <c r="F2" s="66" t="s">
        <v>81</v>
      </c>
      <c r="G2" s="66"/>
    </row>
    <row r="3" spans="1:7" s="12" customFormat="1" ht="19.5" customHeight="1" x14ac:dyDescent="0.2">
      <c r="A3" s="63"/>
      <c r="B3" s="64"/>
      <c r="C3" s="64"/>
      <c r="D3" s="64"/>
      <c r="E3" s="64"/>
      <c r="F3" s="67" t="s">
        <v>82</v>
      </c>
      <c r="G3" s="67"/>
    </row>
    <row r="4" spans="1:7" s="12" customFormat="1" ht="4.5" customHeight="1" x14ac:dyDescent="0.2">
      <c r="A4" s="5"/>
      <c r="B4" s="5"/>
      <c r="C4" s="5"/>
      <c r="D4" s="5"/>
      <c r="E4" s="5"/>
      <c r="F4" s="5"/>
      <c r="G4" s="5"/>
    </row>
    <row r="5" spans="1:7" s="12" customFormat="1" ht="13.5" customHeight="1" x14ac:dyDescent="0.2">
      <c r="A5" s="58" t="s">
        <v>83</v>
      </c>
      <c r="B5" s="58"/>
      <c r="C5" s="58"/>
      <c r="D5" s="59"/>
      <c r="E5" s="59"/>
      <c r="F5" s="59"/>
      <c r="G5" s="59"/>
    </row>
    <row r="6" spans="1:7" s="12" customFormat="1" ht="4.5" customHeight="1" x14ac:dyDescent="0.2">
      <c r="A6" s="5"/>
      <c r="B6" s="5"/>
      <c r="C6" s="5"/>
      <c r="D6" s="5"/>
      <c r="E6" s="5"/>
      <c r="F6" s="5"/>
      <c r="G6" s="5"/>
    </row>
    <row r="7" spans="1:7" s="12" customFormat="1" ht="30" customHeight="1" x14ac:dyDescent="0.2">
      <c r="A7" s="14" t="s">
        <v>84</v>
      </c>
      <c r="B7" s="15" t="s">
        <v>15</v>
      </c>
      <c r="C7" s="16" t="s">
        <v>85</v>
      </c>
      <c r="D7" s="60" t="s">
        <v>86</v>
      </c>
      <c r="E7" s="60"/>
      <c r="F7" s="60"/>
      <c r="G7" s="60"/>
    </row>
    <row r="8" spans="1:7" s="12" customFormat="1" ht="24" hidden="1" customHeight="1" x14ac:dyDescent="0.2">
      <c r="A8" s="17"/>
      <c r="B8" s="61"/>
      <c r="C8" s="61"/>
      <c r="D8" s="62"/>
      <c r="E8" s="62"/>
      <c r="F8" s="62"/>
      <c r="G8" s="62"/>
    </row>
    <row r="9" spans="1:7" s="12" customFormat="1" ht="15.75" customHeight="1" x14ac:dyDescent="0.2">
      <c r="A9" s="54" t="s">
        <v>87</v>
      </c>
      <c r="B9" s="54"/>
      <c r="C9" s="55" t="s">
        <v>66</v>
      </c>
      <c r="D9" s="55"/>
      <c r="E9" s="55"/>
      <c r="F9" s="55"/>
      <c r="G9" s="55"/>
    </row>
    <row r="10" spans="1:7" s="12" customFormat="1" ht="27.75" customHeight="1" x14ac:dyDescent="0.2">
      <c r="A10" s="56" t="s">
        <v>88</v>
      </c>
      <c r="B10" s="56"/>
      <c r="C10" s="40" t="str">
        <f>VLOOKUP($C$9,Estructura!$A$19:$I$32,9,FALSE)</f>
        <v>Fundamentación</v>
      </c>
      <c r="D10" s="40"/>
      <c r="E10" s="40"/>
      <c r="F10" s="40"/>
      <c r="G10" s="40"/>
    </row>
    <row r="11" spans="1:7" s="12" customFormat="1" ht="44.25" customHeight="1" x14ac:dyDescent="0.2">
      <c r="A11" s="56" t="s">
        <v>89</v>
      </c>
      <c r="B11" s="56"/>
      <c r="C11" s="57" t="str">
        <f>VLOOKUP($C$10,Estructura!A14:B17,2,FALSE())</f>
        <v>Desarrollar en el estudiante las competencias fundamentales descritas en el perfil de egreso de la Especialización.</v>
      </c>
      <c r="D11" s="57"/>
      <c r="E11" s="57"/>
      <c r="F11" s="57"/>
      <c r="G11" s="57"/>
    </row>
    <row r="12" spans="1:7" s="12" customFormat="1" ht="31.5" customHeight="1" x14ac:dyDescent="0.2">
      <c r="A12" s="1" t="s">
        <v>90</v>
      </c>
      <c r="B12" s="47" t="s">
        <v>91</v>
      </c>
      <c r="C12" s="47"/>
      <c r="D12" s="47" t="s">
        <v>92</v>
      </c>
      <c r="E12" s="47"/>
      <c r="F12" s="48" t="s">
        <v>93</v>
      </c>
      <c r="G12" s="48"/>
    </row>
    <row r="13" spans="1:7" s="12" customFormat="1" ht="15.75" customHeight="1" x14ac:dyDescent="0.2">
      <c r="A13" s="30" t="str">
        <f>VLOOKUP($C$9,Tabla5[#All],8,FALSE)</f>
        <v>Teórico práctico</v>
      </c>
      <c r="B13" s="51" t="str">
        <f>VLOOKUP($C$9,Tabla5[#All],7,FALSE)</f>
        <v>Obligatoria</v>
      </c>
      <c r="C13" s="51"/>
      <c r="D13" s="52"/>
      <c r="E13" s="52"/>
      <c r="F13" s="53">
        <f>VLOOKUP($C$9,Tabla5[#All],6,FALSE)</f>
        <v>1</v>
      </c>
      <c r="G13" s="53"/>
    </row>
    <row r="14" spans="1:7" s="12" customFormat="1" ht="25.5" customHeight="1" x14ac:dyDescent="0.2">
      <c r="A14" s="1" t="s">
        <v>94</v>
      </c>
      <c r="B14" s="18" t="s">
        <v>95</v>
      </c>
      <c r="C14" s="18" t="s">
        <v>96</v>
      </c>
      <c r="D14" s="47" t="s">
        <v>97</v>
      </c>
      <c r="E14" s="47"/>
      <c r="F14" s="48" t="s">
        <v>98</v>
      </c>
      <c r="G14" s="48"/>
    </row>
    <row r="15" spans="1:7" s="20" customFormat="1" ht="15.75" customHeight="1" x14ac:dyDescent="0.2">
      <c r="A15" s="31">
        <f>VLOOKUP($C$9,Tabla5[#All],10,FALSE)</f>
        <v>10462</v>
      </c>
      <c r="B15" s="19">
        <f>VLOOKUP($C$9,Tabla5[#All],2,FALSE)</f>
        <v>2</v>
      </c>
      <c r="C15" s="19">
        <f>VLOOKUP($C$9,Tabla5[#All],5,FALSE)</f>
        <v>96</v>
      </c>
      <c r="D15" s="49">
        <f>VLOOKUP($C$9,Tabla5[#All],3,FALSE)</f>
        <v>32</v>
      </c>
      <c r="E15" s="49"/>
      <c r="F15" s="50">
        <f>VLOOKUP($C$9,Tabla5[#All],4,FALSE)</f>
        <v>64</v>
      </c>
      <c r="G15" s="50"/>
    </row>
    <row r="16" spans="1:7" s="12" customFormat="1" ht="23.25" customHeight="1" x14ac:dyDescent="0.2">
      <c r="A16" s="41" t="s">
        <v>99</v>
      </c>
      <c r="B16" s="41"/>
      <c r="C16" s="41"/>
      <c r="D16" s="41"/>
      <c r="E16" s="41"/>
      <c r="F16" s="41"/>
      <c r="G16" s="41"/>
    </row>
    <row r="17" spans="1:8" s="12" customFormat="1" ht="36" customHeight="1" x14ac:dyDescent="0.2">
      <c r="A17" s="45" t="s">
        <v>100</v>
      </c>
      <c r="B17" s="45"/>
      <c r="C17" s="46" t="s">
        <v>101</v>
      </c>
      <c r="D17" s="46"/>
      <c r="E17" s="46"/>
      <c r="F17" s="46"/>
      <c r="G17" s="46"/>
    </row>
    <row r="18" spans="1:8" s="12" customFormat="1" ht="33.75" customHeight="1" x14ac:dyDescent="0.2">
      <c r="A18" s="44" t="s">
        <v>35</v>
      </c>
      <c r="B18" s="44"/>
      <c r="C18" s="40" t="str">
        <f>VLOOKUP(A18,Estructura!$A$2:$B$11,2,FALSE())</f>
        <v>Aplico estrategias para la solución de situaciones que contengan información que pueda ser gestionada de manera cuantitativa.</v>
      </c>
      <c r="D18" s="40"/>
      <c r="E18" s="40"/>
      <c r="F18" s="40"/>
      <c r="G18" s="40"/>
    </row>
    <row r="19" spans="1:8" s="12" customFormat="1" ht="27.75" customHeight="1" x14ac:dyDescent="0.2">
      <c r="A19" s="44" t="s">
        <v>41</v>
      </c>
      <c r="B19" s="44"/>
      <c r="C19" s="40" t="str">
        <f>VLOOKUP(A19,Estructura!$A$2:$B$11,2,FALSE())</f>
        <v>Propongo soluciones a problemas empresariales y/o sociales, utilizando fundamentos de la ciencia y/o la tecnología.</v>
      </c>
      <c r="D19" s="40"/>
      <c r="E19" s="40"/>
      <c r="F19" s="40"/>
      <c r="G19" s="40"/>
    </row>
    <row r="20" spans="1:8" s="12" customFormat="1" ht="35.25" customHeight="1" x14ac:dyDescent="0.2">
      <c r="A20" s="44" t="s">
        <v>43</v>
      </c>
      <c r="B20" s="44"/>
      <c r="C20" s="40" t="str">
        <f>VLOOKUP(A20,Estructura!$A$2:$B$11,2,FALSE())</f>
        <v>Redacto textos en otro idioma relacionándolo con un contexto para asumir una postura crítica ante su tesis principal.</v>
      </c>
      <c r="D20" s="40"/>
      <c r="E20" s="40"/>
      <c r="F20" s="40"/>
      <c r="G20" s="40"/>
    </row>
    <row r="21" spans="1:8" s="12" customFormat="1" ht="23.25" customHeight="1" x14ac:dyDescent="0.2">
      <c r="A21" s="41" t="s">
        <v>102</v>
      </c>
      <c r="B21" s="41"/>
      <c r="C21" s="41"/>
      <c r="D21" s="41"/>
      <c r="E21" s="41"/>
      <c r="F21" s="41"/>
      <c r="G21" s="41"/>
    </row>
    <row r="22" spans="1:8" s="12" customFormat="1" ht="25.5" customHeight="1" x14ac:dyDescent="0.2">
      <c r="A22" s="45" t="s">
        <v>103</v>
      </c>
      <c r="B22" s="45"/>
      <c r="C22" s="46" t="s">
        <v>104</v>
      </c>
      <c r="D22" s="46"/>
      <c r="E22" s="46"/>
      <c r="F22" s="46"/>
      <c r="G22" s="46"/>
    </row>
    <row r="23" spans="1:8" s="12" customFormat="1" ht="61.5" customHeight="1" x14ac:dyDescent="0.2">
      <c r="A23" s="39" t="str">
        <f>VLOOKUP($H$23,Estructura!$A$35:$E$38,2,FALSE)</f>
        <v>UC1: Desarrollar análisis descriptivos y diagnósticos, fundamentados en la preparación técnica de datos y en el uso de herramientas de inteligencia de negocios, comunicando los hallazgos mediante técnicas de storytelling para explicar el comportamiento y las causas raíz de los fenómenos de la organización.</v>
      </c>
      <c r="B23" s="39"/>
      <c r="C23" s="40" t="str">
        <f>VLOOKUP($H$23,Estructura!$A$35:$E$38,3,FALSE)</f>
        <v>RA1: Desarrollo análisis descriptivos y diagnósticos, fundamentados en la preparación técnica de datos y en el uso de herramientas de inteligencia de negocios, comunicando los hallazgos mediante técnicas de storytelling para explicar el comportamiento y las causas raíz de los fenómenos de la organización.</v>
      </c>
      <c r="D23" s="40"/>
      <c r="E23" s="40"/>
      <c r="F23" s="40"/>
      <c r="G23" s="40"/>
      <c r="H23" s="12">
        <f>VLOOKUP($C$9,Tabla5[#All],11,FALSE)</f>
        <v>1</v>
      </c>
    </row>
    <row r="24" spans="1:8" s="12" customFormat="1" ht="61.5" customHeight="1" x14ac:dyDescent="0.2">
      <c r="A24" s="39" t="str">
        <f>VLOOKUP($H$24,Estructura!$A$35:$E$38,2,FALSE)</f>
        <v>--</v>
      </c>
      <c r="B24" s="39"/>
      <c r="C24" s="40" t="str">
        <f>VLOOKUP($H$24,Estructura!$A$35:$E$38,3,FALSE)</f>
        <v>--</v>
      </c>
      <c r="D24" s="40"/>
      <c r="E24" s="40"/>
      <c r="F24" s="40"/>
      <c r="G24" s="40"/>
      <c r="H24" s="12">
        <f>VLOOKUP($C$9,Tabla5[#All],12,FALSE)</f>
        <v>0</v>
      </c>
    </row>
    <row r="25" spans="1:8" s="12" customFormat="1" ht="10.35" customHeight="1" x14ac:dyDescent="0.2">
      <c r="A25" s="41" t="s">
        <v>105</v>
      </c>
      <c r="B25" s="41"/>
      <c r="C25" s="41"/>
      <c r="D25" s="41"/>
      <c r="E25" s="41"/>
      <c r="F25" s="41"/>
      <c r="G25" s="41"/>
    </row>
    <row r="26" spans="1:8" s="12" customFormat="1" ht="24" hidden="1" customHeight="1" x14ac:dyDescent="0.2">
      <c r="A26" s="24"/>
      <c r="B26" s="13"/>
      <c r="C26" s="13"/>
      <c r="D26" s="13"/>
      <c r="E26" s="13"/>
      <c r="F26" s="13"/>
      <c r="G26" s="13"/>
    </row>
    <row r="27" spans="1:8" s="20" customFormat="1" ht="44.25" customHeight="1" x14ac:dyDescent="0.2">
      <c r="A27" s="21" t="s">
        <v>106</v>
      </c>
      <c r="B27" s="25" t="s">
        <v>107</v>
      </c>
      <c r="C27" s="25" t="s">
        <v>108</v>
      </c>
      <c r="D27" s="25" t="s">
        <v>109</v>
      </c>
      <c r="E27" s="25" t="s">
        <v>110</v>
      </c>
      <c r="F27" s="25" t="s">
        <v>111</v>
      </c>
      <c r="G27" s="22" t="s">
        <v>112</v>
      </c>
    </row>
    <row r="28" spans="1:8" s="29" customFormat="1" ht="101.25" customHeight="1" x14ac:dyDescent="0.25">
      <c r="A28" s="23" t="s">
        <v>120</v>
      </c>
      <c r="B28" s="26" t="s">
        <v>141</v>
      </c>
      <c r="C28" s="26" t="s">
        <v>137</v>
      </c>
      <c r="D28" s="26" t="s">
        <v>138</v>
      </c>
      <c r="E28" s="26">
        <v>8</v>
      </c>
      <c r="F28" s="27">
        <v>16</v>
      </c>
      <c r="G28" s="28">
        <f>SUM(E28:F28)</f>
        <v>24</v>
      </c>
    </row>
    <row r="29" spans="1:8" s="29" customFormat="1" ht="101.1" customHeight="1" x14ac:dyDescent="0.25">
      <c r="A29" s="23" t="s">
        <v>120</v>
      </c>
      <c r="B29" s="26" t="s">
        <v>142</v>
      </c>
      <c r="C29" s="26" t="s">
        <v>137</v>
      </c>
      <c r="D29" s="26" t="s">
        <v>138</v>
      </c>
      <c r="E29" s="26">
        <v>8</v>
      </c>
      <c r="F29" s="27">
        <v>16</v>
      </c>
      <c r="G29" s="28">
        <f t="shared" ref="G29:G31" si="0">SUM(E29:F29)</f>
        <v>24</v>
      </c>
    </row>
    <row r="30" spans="1:8" s="29" customFormat="1" ht="120.75" customHeight="1" x14ac:dyDescent="0.25">
      <c r="A30" s="23" t="s">
        <v>120</v>
      </c>
      <c r="B30" s="26" t="s">
        <v>140</v>
      </c>
      <c r="C30" s="26" t="s">
        <v>137</v>
      </c>
      <c r="D30" s="26" t="s">
        <v>138</v>
      </c>
      <c r="E30" s="26">
        <v>4</v>
      </c>
      <c r="F30" s="27">
        <v>8</v>
      </c>
      <c r="G30" s="28">
        <f t="shared" si="0"/>
        <v>12</v>
      </c>
    </row>
    <row r="31" spans="1:8" s="29" customFormat="1" ht="120.75" customHeight="1" x14ac:dyDescent="0.25">
      <c r="A31" s="23" t="s">
        <v>121</v>
      </c>
      <c r="B31" s="26" t="s">
        <v>136</v>
      </c>
      <c r="C31" s="26" t="s">
        <v>137</v>
      </c>
      <c r="D31" s="26" t="s">
        <v>139</v>
      </c>
      <c r="E31" s="26">
        <v>12</v>
      </c>
      <c r="F31" s="27">
        <v>24</v>
      </c>
      <c r="G31" s="28">
        <f t="shared" si="0"/>
        <v>36</v>
      </c>
    </row>
    <row r="32" spans="1:8" s="12" customFormat="1" ht="12.75" customHeight="1" x14ac:dyDescent="0.2">
      <c r="A32" s="42" t="s">
        <v>113</v>
      </c>
      <c r="B32" s="42"/>
      <c r="C32" s="42"/>
      <c r="D32" s="42"/>
      <c r="E32" s="36">
        <f>SUM(E28:E31)</f>
        <v>32</v>
      </c>
      <c r="F32" s="36">
        <f>SUM(F28:F31)</f>
        <v>64</v>
      </c>
      <c r="G32" s="36">
        <f>SUM(G28:G31)</f>
        <v>96</v>
      </c>
    </row>
    <row r="33" spans="1:7" s="12" customFormat="1" ht="17.25" customHeight="1" x14ac:dyDescent="0.2">
      <c r="A33" s="43" t="s">
        <v>114</v>
      </c>
      <c r="B33" s="43"/>
      <c r="C33" s="43"/>
      <c r="D33" s="43"/>
      <c r="E33" s="43"/>
      <c r="F33" s="43"/>
      <c r="G33" s="43"/>
    </row>
    <row r="34" spans="1:7" s="12" customFormat="1" ht="72" customHeight="1" x14ac:dyDescent="0.2">
      <c r="A34" s="37" t="s">
        <v>143</v>
      </c>
      <c r="B34" s="37"/>
      <c r="C34" s="37"/>
      <c r="D34" s="37"/>
      <c r="E34" s="37"/>
      <c r="F34" s="37"/>
      <c r="G34" s="37"/>
    </row>
    <row r="35" spans="1:7" s="12" customFormat="1" ht="34.5" customHeight="1" x14ac:dyDescent="0.2">
      <c r="A35" s="37" t="s">
        <v>115</v>
      </c>
      <c r="B35" s="37"/>
      <c r="C35" s="37"/>
      <c r="D35" s="37"/>
      <c r="E35" s="37"/>
      <c r="F35" s="37"/>
      <c r="G35" s="37"/>
    </row>
    <row r="36" spans="1:7" s="12" customFormat="1" ht="33" customHeight="1" x14ac:dyDescent="0.2">
      <c r="A36" s="37" t="s">
        <v>116</v>
      </c>
      <c r="B36" s="37"/>
      <c r="C36" s="37"/>
      <c r="D36" s="37"/>
      <c r="E36" s="37"/>
      <c r="F36" s="37"/>
      <c r="G36" s="37"/>
    </row>
    <row r="37" spans="1:7" s="12" customFormat="1" ht="33.75" customHeight="1" x14ac:dyDescent="0.2">
      <c r="A37" s="38" t="s">
        <v>117</v>
      </c>
      <c r="B37" s="38"/>
      <c r="C37" s="38"/>
      <c r="D37" s="38"/>
      <c r="E37" s="38"/>
      <c r="F37" s="38"/>
      <c r="G37" s="38"/>
    </row>
    <row r="38" spans="1:7" s="12" customFormat="1" x14ac:dyDescent="0.2"/>
    <row r="39" spans="1:7" s="12" customFormat="1" x14ac:dyDescent="0.2"/>
    <row r="40" spans="1:7" s="12" customFormat="1" x14ac:dyDescent="0.2"/>
    <row r="41" spans="1:7" s="12" customFormat="1" x14ac:dyDescent="0.2"/>
    <row r="42" spans="1:7" s="12" customFormat="1" x14ac:dyDescent="0.2"/>
    <row r="43" spans="1:7" s="12" customFormat="1" x14ac:dyDescent="0.2"/>
    <row r="44" spans="1:7" s="12" customFormat="1" x14ac:dyDescent="0.2"/>
    <row r="45" spans="1:7" s="12" customFormat="1" x14ac:dyDescent="0.2"/>
    <row r="46" spans="1:7" s="12" customFormat="1" x14ac:dyDescent="0.2"/>
    <row r="47" spans="1:7" s="12" customFormat="1" x14ac:dyDescent="0.2"/>
    <row r="48" spans="1:7" s="12" customFormat="1" x14ac:dyDescent="0.2"/>
    <row r="49" s="12" customFormat="1" x14ac:dyDescent="0.2"/>
    <row r="50" s="12" customFormat="1" x14ac:dyDescent="0.2"/>
    <row r="51" s="12" customFormat="1" x14ac:dyDescent="0.2"/>
    <row r="52" s="12" customFormat="1" x14ac:dyDescent="0.2"/>
    <row r="53" s="12" customFormat="1" x14ac:dyDescent="0.2"/>
    <row r="54" s="12" customFormat="1" x14ac:dyDescent="0.2"/>
    <row r="55" s="12" customFormat="1" x14ac:dyDescent="0.2"/>
    <row r="56" s="12" customFormat="1" x14ac:dyDescent="0.2"/>
    <row r="57" s="12" customFormat="1" x14ac:dyDescent="0.2"/>
    <row r="58" s="12" customFormat="1" x14ac:dyDescent="0.2"/>
    <row r="59" s="12" customFormat="1" x14ac:dyDescent="0.2"/>
    <row r="60" s="12" customFormat="1" x14ac:dyDescent="0.2"/>
    <row r="61" s="12" customFormat="1" x14ac:dyDescent="0.2"/>
    <row r="62" s="12" customFormat="1" x14ac:dyDescent="0.2"/>
    <row r="63" s="12" customFormat="1" x14ac:dyDescent="0.2"/>
    <row r="64" s="12" customFormat="1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</sheetData>
  <mergeCells count="49">
    <mergeCell ref="A1:A3"/>
    <mergeCell ref="B1:E3"/>
    <mergeCell ref="F1:G1"/>
    <mergeCell ref="F2:G2"/>
    <mergeCell ref="F3:G3"/>
    <mergeCell ref="A5:C5"/>
    <mergeCell ref="D5:G5"/>
    <mergeCell ref="D7:G7"/>
    <mergeCell ref="B8:C8"/>
    <mergeCell ref="D8:G8"/>
    <mergeCell ref="A9:B9"/>
    <mergeCell ref="C9:G9"/>
    <mergeCell ref="A10:B10"/>
    <mergeCell ref="C10:G10"/>
    <mergeCell ref="A11:B11"/>
    <mergeCell ref="C11:G11"/>
    <mergeCell ref="B12:C12"/>
    <mergeCell ref="D12:E12"/>
    <mergeCell ref="F12:G12"/>
    <mergeCell ref="B13:C13"/>
    <mergeCell ref="D13:E13"/>
    <mergeCell ref="F13:G13"/>
    <mergeCell ref="D14:E14"/>
    <mergeCell ref="F14:G14"/>
    <mergeCell ref="D15:E15"/>
    <mergeCell ref="F15:G15"/>
    <mergeCell ref="A16:G16"/>
    <mergeCell ref="A17:B17"/>
    <mergeCell ref="C17:G17"/>
    <mergeCell ref="A18:B18"/>
    <mergeCell ref="C18:G18"/>
    <mergeCell ref="A19:B19"/>
    <mergeCell ref="C19:G19"/>
    <mergeCell ref="A20:B20"/>
    <mergeCell ref="C20:G20"/>
    <mergeCell ref="A21:G21"/>
    <mergeCell ref="A22:B22"/>
    <mergeCell ref="C22:G22"/>
    <mergeCell ref="A23:B23"/>
    <mergeCell ref="C23:G23"/>
    <mergeCell ref="A25:G25"/>
    <mergeCell ref="A32:D32"/>
    <mergeCell ref="A33:G33"/>
    <mergeCell ref="A34:G34"/>
    <mergeCell ref="A35:G35"/>
    <mergeCell ref="A36:G36"/>
    <mergeCell ref="A37:G37"/>
    <mergeCell ref="A24:B24"/>
    <mergeCell ref="C24:G24"/>
  </mergeCells>
  <dataValidations count="3">
    <dataValidation type="list" allowBlank="1" showInputMessage="1" showErrorMessage="1" sqref="B7" xr:uid="{0840AAF2-72C0-443E-9A26-EA9C1CF83D39}">
      <formula1>"Pregrado,Especialización,Maestría de profundización,Maestría de investigacion,Maestría de profundización e investigación,Doctorado"</formula1>
      <formula2>0</formula2>
    </dataValidation>
    <dataValidation type="list" allowBlank="1" showInputMessage="1" showErrorMessage="1" sqref="A18:B20" xr:uid="{1C53FCFF-245F-447C-9F10-E7B9C0F1B044}">
      <formula1>COMPETENCIAS_GENERICAS</formula1>
      <formula2>0</formula2>
    </dataValidation>
    <dataValidation type="list" allowBlank="1" showInputMessage="1" showErrorMessage="1" sqref="A28:A31" xr:uid="{7D164CBD-846E-441F-AAD4-BB09E86D90A9}">
      <formula1>RAE_1</formula1>
    </dataValidation>
  </dataValidations>
  <printOptions horizontalCentered="1" verticalCentered="1"/>
  <pageMargins left="0.70833333333333304" right="0.70833333333333304" top="0.74791666666666701" bottom="0.74791666666666701" header="0.511811023622047" footer="0.511811023622047"/>
  <pageSetup scale="75" orientation="landscape" horizontalDpi="300" verticalDpi="300" r:id="rId1"/>
  <rowBreaks count="1" manualBreakCount="1">
    <brk id="26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020E47-794C-4DB1-AB2A-5CBFF9503A54}">
          <x14:formula1>
            <xm:f>Estructura!$A$20:$A$32</xm:f>
          </x14:formula1>
          <xm:sqref>C9:G9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2bbf933d-857a-4427-b12f-7b31d1f40c1a}" enabled="0" method="" siteId="{2bbf933d-857a-4427-b12f-7b31d1f40c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5</vt:i4>
      </vt:variant>
    </vt:vector>
  </HeadingPairs>
  <TitlesOfParts>
    <vt:vector size="8" baseType="lpstr">
      <vt:lpstr>Lineamientos</vt:lpstr>
      <vt:lpstr>Estructura</vt:lpstr>
      <vt:lpstr>Ficha</vt:lpstr>
      <vt:lpstr>COMPETENCIAS_GENERICAS</vt:lpstr>
      <vt:lpstr>RAE</vt:lpstr>
      <vt:lpstr>RAE_1</vt:lpstr>
      <vt:lpstr>RAE_2</vt:lpstr>
      <vt:lpstr>RAE_3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 María Estrada Mejía</dc:creator>
  <dc:description/>
  <cp:lastModifiedBy>Jhon Jair Quiza Montealegre</cp:lastModifiedBy>
  <cp:revision>2</cp:revision>
  <cp:lastPrinted>2025-01-30T21:35:33Z</cp:lastPrinted>
  <dcterms:created xsi:type="dcterms:W3CDTF">2021-08-05T16:20:26Z</dcterms:created>
  <dcterms:modified xsi:type="dcterms:W3CDTF">2026-07-10T21:47:03Z</dcterms:modified>
  <dc:language>es-ES</dc:language>
</cp:coreProperties>
</file>